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0" yWindow="60" windowWidth="19155" windowHeight="8220"/>
  </bookViews>
  <sheets>
    <sheet name="Ex04" sheetId="1" r:id="rId1"/>
  </sheets>
  <definedNames>
    <definedName name="a">'Ex04'!$C$34</definedName>
    <definedName name="b">'Ex04'!$C$37</definedName>
    <definedName name="CoefCorr">'Ex04'!$C$31</definedName>
    <definedName name="ColX">'Ex04'!$C$3:$C$22</definedName>
    <definedName name="ColY">'Ex04'!$D$3:$D$22</definedName>
    <definedName name="Dados">'Ex04'!$C$3:$D$22</definedName>
    <definedName name="i_Interv">'Ex04'!$B$3:$B$22</definedName>
    <definedName name="n">'Ex04'!$C$26</definedName>
    <definedName name="nCasas">'Ex04'!$J$3</definedName>
    <definedName name="OutroDado">'Ex04'!$D$43</definedName>
    <definedName name="Sx">'Ex04'!$C$28</definedName>
    <definedName name="Sxy">'Ex04'!$C$27</definedName>
    <definedName name="Sy">'Ex04'!$C$29</definedName>
    <definedName name="x_linha">'Ex04'!$C$35</definedName>
    <definedName name="x2Tot">'Ex04'!$F$23</definedName>
    <definedName name="XQuad">'Ex04'!$F$3:$F$23</definedName>
    <definedName name="xTot">'Ex04'!$C$23</definedName>
    <definedName name="XY">'Ex04'!$E$3:$E$23</definedName>
    <definedName name="xyTot">'Ex04'!$E$23</definedName>
    <definedName name="y_Estimativa">'Ex04'!$D$45</definedName>
    <definedName name="y_linha">'Ex04'!$C$36</definedName>
    <definedName name="y_Real">'Ex04'!$E$43</definedName>
    <definedName name="y2Tot">'Ex04'!$G$23</definedName>
    <definedName name="YQuad">'Ex04'!$G$3:$G$23</definedName>
    <definedName name="yTot">'Ex04'!$D$23</definedName>
  </definedNames>
  <calcPr calcId="145621"/>
</workbook>
</file>

<file path=xl/calcChain.xml><?xml version="1.0" encoding="utf-8"?>
<calcChain xmlns="http://schemas.openxmlformats.org/spreadsheetml/2006/main">
  <c r="C45" i="1" l="1"/>
  <c r="E43" i="1"/>
  <c r="F44" i="1" s="1"/>
  <c r="C26" i="1"/>
  <c r="G10" i="1" l="1"/>
  <c r="G11" i="1"/>
  <c r="G12" i="1"/>
  <c r="G13" i="1"/>
  <c r="G14" i="1"/>
  <c r="G15" i="1"/>
  <c r="G16" i="1"/>
  <c r="G17" i="1"/>
  <c r="G18" i="1"/>
  <c r="G19" i="1"/>
  <c r="G20" i="1"/>
  <c r="G21" i="1"/>
  <c r="G22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D23" i="1"/>
  <c r="C23" i="1"/>
  <c r="G9" i="1" l="1"/>
  <c r="G8" i="1"/>
  <c r="G7" i="1"/>
  <c r="G6" i="1"/>
  <c r="G5" i="1"/>
  <c r="G4" i="1"/>
  <c r="G3" i="1"/>
  <c r="F9" i="1"/>
  <c r="F8" i="1"/>
  <c r="F7" i="1"/>
  <c r="F6" i="1"/>
  <c r="F5" i="1"/>
  <c r="F4" i="1"/>
  <c r="F3" i="1"/>
  <c r="E9" i="1"/>
  <c r="E8" i="1"/>
  <c r="E7" i="1"/>
  <c r="E6" i="1"/>
  <c r="E5" i="1"/>
  <c r="E4" i="1"/>
  <c r="E3" i="1"/>
  <c r="E23" i="1" l="1"/>
  <c r="C27" i="1" s="1"/>
  <c r="G23" i="1"/>
  <c r="C29" i="1" s="1"/>
  <c r="F23" i="1"/>
  <c r="C28" i="1" s="1"/>
  <c r="C35" i="1"/>
  <c r="C36" i="1"/>
  <c r="C31" i="1" l="1"/>
  <c r="D31" i="1" s="1"/>
  <c r="C34" i="1"/>
  <c r="C37" i="1" l="1"/>
  <c r="B39" i="1" s="1"/>
  <c r="D45" i="1" l="1"/>
  <c r="F43" i="1" s="1"/>
  <c r="H44" i="1" l="1"/>
</calcChain>
</file>

<file path=xl/sharedStrings.xml><?xml version="1.0" encoding="utf-8"?>
<sst xmlns="http://schemas.openxmlformats.org/spreadsheetml/2006/main" count="29" uniqueCount="28">
  <si>
    <t>i</t>
  </si>
  <si>
    <t>n</t>
  </si>
  <si>
    <t>Fix</t>
  </si>
  <si>
    <r>
      <t xml:space="preserve">Total ( </t>
    </r>
    <r>
      <rPr>
        <b/>
        <i/>
        <sz val="11"/>
        <color theme="1"/>
        <rFont val="Calibri"/>
        <family val="2"/>
      </rPr>
      <t>∑</t>
    </r>
    <r>
      <rPr>
        <b/>
        <sz val="11"/>
        <color theme="1"/>
        <rFont val="Calibri"/>
        <family val="2"/>
      </rPr>
      <t xml:space="preserve"> )</t>
    </r>
  </si>
  <si>
    <t>X.Y</t>
  </si>
  <si>
    <t>ŷ =</t>
  </si>
  <si>
    <t>a =</t>
  </si>
  <si>
    <t>x' =</t>
  </si>
  <si>
    <t>y' =</t>
  </si>
  <si>
    <t>b =</t>
  </si>
  <si>
    <t>Memória (Gb)</t>
  </si>
  <si>
    <t>Tempo de resposta (ms)</t>
  </si>
  <si>
    <r>
      <t xml:space="preserve">Coef. De Correlação ( </t>
    </r>
    <r>
      <rPr>
        <b/>
        <i/>
        <sz val="11"/>
        <color theme="1"/>
        <rFont val="Calibri"/>
        <family val="2"/>
        <scheme val="minor"/>
      </rPr>
      <t>r</t>
    </r>
    <r>
      <rPr>
        <b/>
        <sz val="11"/>
        <color theme="1"/>
        <rFont val="Calibri"/>
        <family val="2"/>
        <scheme val="minor"/>
      </rPr>
      <t xml:space="preserve"> )</t>
    </r>
  </si>
  <si>
    <t>Reta de regressão linear simples</t>
  </si>
  <si>
    <t>(para cálculo do b)</t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</si>
  <si>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</si>
  <si>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Y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</si>
  <si>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xy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</si>
  <si>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</si>
  <si>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</si>
  <si>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Tempo de resposta para a abertura de aplicativo padrão (ms) por capacidade de Memória RAM:</t>
  </si>
  <si>
    <t>Capacidade (Gb):</t>
  </si>
  <si>
    <t>(ŷ = a.x + b )</t>
  </si>
  <si>
    <t>Estimativa (ms):</t>
  </si>
  <si>
    <t>Conclusão:</t>
  </si>
  <si>
    <t>Se colocarmos um valor de memória já existente na tabela,</t>
  </si>
  <si>
    <t>o valor da estimativa mostrará a diferença (erro) em relação à tendência.</t>
  </si>
  <si>
    <t>Estimativa para as capacidades de memória desejadas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</si>
</sst>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 &quot;Gb&quot;"/>
    <numFmt numFmtId="166" formatCode="General\ &quot;ms&quot;"/>
    <numFmt numFmtId="167" formatCode="&quot;Real: &quot;\ General\ &quot; ms&quot;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i/>
      <sz val="11"/>
      <color theme="1"/>
      <name val="Calibri"/>
      <family val="2"/>
    </font>
    <font>
      <b/>
      <sz val="11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6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6600"/>
      <name val="Calibri"/>
      <family val="2"/>
    </font>
    <font>
      <b/>
      <sz val="11"/>
      <color rgb="FF008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Protection="1"/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</xf>
    <xf numFmtId="2" fontId="1" fillId="0" borderId="1" xfId="0" applyNumberFormat="1" applyFont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164" fontId="1" fillId="0" borderId="1" xfId="0" applyNumberFormat="1" applyFont="1" applyBorder="1" applyAlignment="1" applyProtection="1">
      <alignment horizontal="center" vertical="center"/>
    </xf>
    <xf numFmtId="0" fontId="4" fillId="0" borderId="0" xfId="0" applyFont="1" applyProtection="1"/>
    <xf numFmtId="0" fontId="1" fillId="2" borderId="1" xfId="0" applyFont="1" applyFill="1" applyBorder="1" applyAlignment="1" applyProtection="1">
      <alignment horizontal="right" vertical="center"/>
    </xf>
    <xf numFmtId="0" fontId="2" fillId="2" borderId="1" xfId="0" applyFont="1" applyFill="1" applyBorder="1" applyAlignment="1" applyProtection="1">
      <alignment horizontal="right" vertical="center"/>
    </xf>
    <xf numFmtId="0" fontId="0" fillId="0" borderId="0" xfId="0" applyAlignment="1" applyProtection="1">
      <alignment horizontal="right" vertical="center"/>
    </xf>
    <xf numFmtId="0" fontId="1" fillId="2" borderId="1" xfId="0" applyFont="1" applyFill="1" applyBorder="1" applyAlignment="1" applyProtection="1">
      <alignment horizontal="right" vertical="center" wrapText="1"/>
    </xf>
    <xf numFmtId="0" fontId="1" fillId="0" borderId="0" xfId="0" applyFont="1" applyProtection="1"/>
    <xf numFmtId="1" fontId="0" fillId="0" borderId="5" xfId="0" applyNumberFormat="1" applyBorder="1" applyAlignment="1" applyProtection="1">
      <alignment horizontal="center" vertical="center"/>
    </xf>
    <xf numFmtId="164" fontId="0" fillId="0" borderId="1" xfId="0" applyNumberFormat="1" applyBorder="1" applyAlignment="1" applyProtection="1">
      <alignment horizontal="center" vertical="center"/>
    </xf>
    <xf numFmtId="164" fontId="0" fillId="0" borderId="3" xfId="0" applyNumberFormat="1" applyBorder="1" applyAlignment="1" applyProtection="1">
      <alignment horizontal="center" vertical="center"/>
    </xf>
    <xf numFmtId="164" fontId="1" fillId="0" borderId="3" xfId="0" applyNumberFormat="1" applyFont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/>
    </xf>
    <xf numFmtId="0" fontId="9" fillId="0" borderId="0" xfId="0" applyFont="1" applyProtection="1"/>
    <xf numFmtId="166" fontId="1" fillId="0" borderId="1" xfId="0" applyNumberFormat="1" applyFont="1" applyBorder="1" applyAlignment="1" applyProtection="1">
      <alignment horizontal="center" vertical="center"/>
    </xf>
    <xf numFmtId="0" fontId="10" fillId="0" borderId="0" xfId="0" applyFont="1" applyProtection="1"/>
    <xf numFmtId="0" fontId="6" fillId="0" borderId="0" xfId="0" applyFont="1" applyAlignment="1" applyProtection="1">
      <alignment vertical="center"/>
    </xf>
    <xf numFmtId="0" fontId="4" fillId="0" borderId="6" xfId="0" applyFon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9" fillId="0" borderId="9" xfId="0" applyFont="1" applyBorder="1" applyAlignment="1" applyProtection="1">
      <alignment vertical="center"/>
    </xf>
    <xf numFmtId="0" fontId="0" fillId="0" borderId="0" xfId="0" applyBorder="1" applyProtection="1"/>
    <xf numFmtId="0" fontId="0" fillId="0" borderId="10" xfId="0" applyBorder="1" applyProtection="1"/>
    <xf numFmtId="0" fontId="9" fillId="0" borderId="11" xfId="0" applyFont="1" applyBorder="1" applyAlignment="1" applyProtection="1">
      <alignment vertical="center"/>
    </xf>
    <xf numFmtId="0" fontId="0" fillId="0" borderId="12" xfId="0" applyBorder="1" applyProtection="1"/>
    <xf numFmtId="0" fontId="0" fillId="0" borderId="13" xfId="0" applyBorder="1" applyProtection="1"/>
    <xf numFmtId="167" fontId="11" fillId="0" borderId="0" xfId="0" applyNumberFormat="1" applyFont="1" applyAlignment="1">
      <alignment horizontal="center" vertical="center"/>
    </xf>
    <xf numFmtId="2" fontId="12" fillId="4" borderId="1" xfId="0" applyNumberFormat="1" applyFont="1" applyFill="1" applyBorder="1" applyAlignment="1" applyProtection="1">
      <alignment horizontal="center" vertical="center"/>
      <protection locked="0"/>
    </xf>
    <xf numFmtId="165" fontId="12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left" vertical="center" wrapText="1"/>
    </xf>
    <xf numFmtId="0" fontId="1" fillId="0" borderId="1" xfId="0" applyFont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 cap="all" spc="0">
                <a:ln w="9000" cmpd="sng">
                  <a:solidFill>
                    <a:schemeClr val="accent4">
                      <a:shade val="50000"/>
                      <a:satMod val="120000"/>
                    </a:schemeClr>
                  </a:solidFill>
                  <a:prstDash val="solid"/>
                </a:ln>
                <a:gradFill>
                  <a:gsLst>
                    <a:gs pos="0">
                      <a:schemeClr val="accent4">
                        <a:shade val="20000"/>
                        <a:satMod val="245000"/>
                      </a:schemeClr>
                    </a:gs>
                    <a:gs pos="43000">
                      <a:schemeClr val="accent4">
                        <a:satMod val="255000"/>
                      </a:schemeClr>
                    </a:gs>
                    <a:gs pos="48000">
                      <a:schemeClr val="accent4">
                        <a:shade val="85000"/>
                        <a:satMod val="255000"/>
                      </a:schemeClr>
                    </a:gs>
                    <a:gs pos="100000">
                      <a:schemeClr val="accent4">
                        <a:shade val="20000"/>
                        <a:satMod val="245000"/>
                      </a:schemeClr>
                    </a:gs>
                  </a:gsLst>
                  <a:lin ang="5400000"/>
                </a:gradFill>
                <a:effectLst>
                  <a:reflection blurRad="12700" stA="28000" endPos="45000" dist="1000" dir="5400000" sy="-100000" algn="bl" rotWithShape="0"/>
                </a:effectLst>
              </a:defRPr>
            </a:pPr>
            <a:r>
              <a:rPr lang="pt-BR" b="1" cap="all" spc="0">
                <a:ln w="9000" cmpd="sng">
                  <a:solidFill>
                    <a:schemeClr val="accent4">
                      <a:shade val="50000"/>
                      <a:satMod val="120000"/>
                    </a:schemeClr>
                  </a:solidFill>
                  <a:prstDash val="solid"/>
                </a:ln>
                <a:gradFill>
                  <a:gsLst>
                    <a:gs pos="0">
                      <a:schemeClr val="accent4">
                        <a:shade val="20000"/>
                        <a:satMod val="245000"/>
                      </a:schemeClr>
                    </a:gs>
                    <a:gs pos="43000">
                      <a:schemeClr val="accent4">
                        <a:satMod val="255000"/>
                      </a:schemeClr>
                    </a:gs>
                    <a:gs pos="48000">
                      <a:schemeClr val="accent4">
                        <a:shade val="85000"/>
                        <a:satMod val="255000"/>
                      </a:schemeClr>
                    </a:gs>
                    <a:gs pos="100000">
                      <a:schemeClr val="accent4">
                        <a:shade val="20000"/>
                        <a:satMod val="245000"/>
                      </a:schemeClr>
                    </a:gs>
                  </a:gsLst>
                  <a:lin ang="5400000"/>
                </a:gradFill>
                <a:effectLst>
                  <a:reflection blurRad="12700" stA="28000" endPos="45000" dist="1000" dir="5400000" sy="-100000" algn="bl" rotWithShape="0"/>
                </a:effectLst>
              </a:rPr>
              <a:t>Reta de Regressão Linear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Tempo de Resposta para Memoria RAM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dLbls>
            <c:numFmt formatCode="General\ &quot; ms&quot;" sourceLinked="0"/>
            <c:txPr>
              <a:bodyPr/>
              <a:lstStyle/>
              <a:p>
                <a:pPr>
                  <a:defRPr sz="700"/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0"/>
            <c:dispEq val="1"/>
            <c:trendlineLbl>
              <c:layout>
                <c:manualLayout>
                  <c:x val="4.9844681179558446E-2"/>
                  <c:y val="-0.18266119332486039"/>
                </c:manualLayout>
              </c:layout>
              <c:tx>
                <c:strRef>
                  <c:f>'Ex04'!$B$39:$C$39</c:f>
                  <c:strCache>
                    <c:ptCount val="1"/>
                    <c:pt idx="0">
                      <c:v>ŷ  =   -26,109x  +  356,527</c:v>
                    </c:pt>
                  </c:strCache>
                </c:strRef>
              </c:tx>
              <c:numFmt formatCode="#,##0.000" sourceLinked="0"/>
              <c:spPr>
                <a:ln w="3175">
                  <a:solidFill>
                    <a:schemeClr val="accent6">
                      <a:lumMod val="40000"/>
                      <a:lumOff val="60000"/>
                    </a:schemeClr>
                  </a:solidFill>
                </a:ln>
              </c:spPr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50000"/>
                        </a:schemeClr>
                      </a:solidFill>
                    </a:defRPr>
                  </a:pPr>
                  <a:endParaRPr lang="pt-BR"/>
                </a:p>
              </c:txPr>
            </c:trendlineLbl>
          </c:trendline>
          <c:xVal>
            <c:numRef>
              <c:f>'Ex04'!$C$3:$C$22</c:f>
              <c:numCache>
                <c:formatCode>0.00</c:formatCode>
                <c:ptCount val="11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4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</c:numCache>
            </c:numRef>
          </c:xVal>
          <c:yVal>
            <c:numRef>
              <c:f>'Ex04'!$D$3:$D$22</c:f>
              <c:numCache>
                <c:formatCode>0.00</c:formatCode>
                <c:ptCount val="11"/>
                <c:pt idx="0">
                  <c:v>500</c:v>
                </c:pt>
                <c:pt idx="1">
                  <c:v>400</c:v>
                </c:pt>
                <c:pt idx="2">
                  <c:v>300</c:v>
                </c:pt>
                <c:pt idx="3">
                  <c:v>280</c:v>
                </c:pt>
                <c:pt idx="4">
                  <c:v>270</c:v>
                </c:pt>
                <c:pt idx="5">
                  <c:v>250</c:v>
                </c:pt>
                <c:pt idx="6">
                  <c:v>210</c:v>
                </c:pt>
                <c:pt idx="7">
                  <c:v>200</c:v>
                </c:pt>
                <c:pt idx="8">
                  <c:v>180</c:v>
                </c:pt>
                <c:pt idx="9">
                  <c:v>170</c:v>
                </c:pt>
                <c:pt idx="10">
                  <c:v>150</c:v>
                </c:pt>
              </c:numCache>
            </c:numRef>
          </c:yVal>
          <c:smooth val="0"/>
        </c:ser>
        <c:ser>
          <c:idx val="1"/>
          <c:order val="1"/>
          <c:tx>
            <c:v>Estimativa</c:v>
          </c:tx>
          <c:spPr>
            <a:ln w="28575">
              <a:solidFill>
                <a:sysClr val="windowText" lastClr="000000"/>
              </a:solidFill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dLbl>
              <c:idx val="0"/>
              <c:spPr>
                <a:ln>
                  <a:noFill/>
                </a:ln>
              </c:spPr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pt-BR"/>
                </a:p>
              </c:txPr>
              <c:dLblPos val="b"/>
              <c:showLegendKey val="0"/>
              <c:showVal val="1"/>
              <c:showCatName val="1"/>
              <c:showSerName val="1"/>
              <c:showPercent val="0"/>
              <c:showBubbleSize val="0"/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 sz="800"/>
                </a:pPr>
                <a:endParaRPr lang="pt-BR"/>
              </a:p>
            </c:txPr>
            <c:dLblPos val="b"/>
            <c:showLegendKey val="0"/>
            <c:showVal val="1"/>
            <c:showCatName val="1"/>
            <c:showSerName val="1"/>
            <c:showPercent val="0"/>
            <c:showBubbleSize val="0"/>
            <c:separator>
</c:separator>
            <c:showLeaderLines val="0"/>
          </c:dLbls>
          <c:xVal>
            <c:numRef>
              <c:f>'Ex04'!$D$43</c:f>
              <c:numCache>
                <c:formatCode>General\ "Gb"</c:formatCode>
                <c:ptCount val="1"/>
                <c:pt idx="0">
                  <c:v>2.5</c:v>
                </c:pt>
              </c:numCache>
            </c:numRef>
          </c:xVal>
          <c:yVal>
            <c:numRef>
              <c:f>'Ex04'!$D$45</c:f>
              <c:numCache>
                <c:formatCode>General\ "ms"</c:formatCode>
                <c:ptCount val="1"/>
                <c:pt idx="0">
                  <c:v>291.255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77312"/>
        <c:axId val="143148544"/>
      </c:scatterChart>
      <c:valAx>
        <c:axId val="142077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defRPr>
                </a:pPr>
                <a:r>
                  <a:rPr lang="pt-BR" sz="12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Memória</a:t>
                </a:r>
                <a:r>
                  <a:rPr lang="pt-BR" sz="1200" b="1" cap="none" spc="0" baseline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 ( </a:t>
                </a:r>
                <a:r>
                  <a:rPr lang="pt-BR" sz="1200" b="1" i="1" cap="none" spc="0" baseline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Gb</a:t>
                </a:r>
                <a:r>
                  <a:rPr lang="pt-BR" sz="1200" b="1" cap="none" spc="0" baseline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 )</a:t>
                </a:r>
                <a:endParaRPr lang="pt-BR" sz="1200" b="1" cap="none" spc="0">
                  <a:ln w="10541" cmpd="sng">
                    <a:solidFill>
                      <a:schemeClr val="accent1">
                        <a:shade val="88000"/>
                        <a:satMod val="110000"/>
                      </a:schemeClr>
                    </a:solidFill>
                    <a:prstDash val="solid"/>
                  </a:ln>
                  <a:gradFill>
                    <a:gsLst>
                      <a:gs pos="0">
                        <a:schemeClr val="accent1">
                          <a:tint val="40000"/>
                          <a:satMod val="250000"/>
                        </a:schemeClr>
                      </a:gs>
                      <a:gs pos="9000">
                        <a:schemeClr val="accent1">
                          <a:tint val="52000"/>
                          <a:satMod val="300000"/>
                        </a:schemeClr>
                      </a:gs>
                      <a:gs pos="50000">
                        <a:schemeClr val="accent1">
                          <a:shade val="20000"/>
                          <a:satMod val="300000"/>
                        </a:schemeClr>
                      </a:gs>
                      <a:gs pos="79000">
                        <a:schemeClr val="accent1">
                          <a:tint val="52000"/>
                          <a:satMod val="300000"/>
                        </a:schemeClr>
                      </a:gs>
                      <a:gs pos="100000">
                        <a:schemeClr val="accent1">
                          <a:tint val="40000"/>
                          <a:satMod val="250000"/>
                        </a:schemeClr>
                      </a:gs>
                    </a:gsLst>
                    <a:lin ang="5400000"/>
                  </a:gradFill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out"/>
        <c:tickLblPos val="nextTo"/>
        <c:crossAx val="143148544"/>
        <c:crosses val="autoZero"/>
        <c:crossBetween val="midCat"/>
        <c:majorUnit val="1"/>
        <c:minorUnit val="0.25"/>
      </c:valAx>
      <c:valAx>
        <c:axId val="1431485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defRPr>
                </a:pPr>
                <a:r>
                  <a:rPr lang="pt-BR" sz="12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Tempo</a:t>
                </a:r>
                <a:r>
                  <a:rPr lang="pt-BR" sz="1200" b="1" cap="none" spc="0" baseline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 ( </a:t>
                </a:r>
                <a:r>
                  <a:rPr lang="pt-BR" sz="1200" b="1" i="1" cap="none" spc="0" baseline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ms</a:t>
                </a:r>
                <a:r>
                  <a:rPr lang="pt-BR" sz="1200" b="1" cap="none" spc="0" baseline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 )</a:t>
                </a:r>
                <a:endParaRPr lang="pt-BR" sz="1200" b="1" cap="none" spc="0">
                  <a:ln w="10541" cmpd="sng">
                    <a:solidFill>
                      <a:schemeClr val="accent1">
                        <a:shade val="88000"/>
                        <a:satMod val="110000"/>
                      </a:schemeClr>
                    </a:solidFill>
                    <a:prstDash val="solid"/>
                  </a:ln>
                  <a:gradFill>
                    <a:gsLst>
                      <a:gs pos="0">
                        <a:schemeClr val="accent1">
                          <a:tint val="40000"/>
                          <a:satMod val="250000"/>
                        </a:schemeClr>
                      </a:gs>
                      <a:gs pos="9000">
                        <a:schemeClr val="accent1">
                          <a:tint val="52000"/>
                          <a:satMod val="300000"/>
                        </a:schemeClr>
                      </a:gs>
                      <a:gs pos="50000">
                        <a:schemeClr val="accent1">
                          <a:shade val="20000"/>
                          <a:satMod val="300000"/>
                        </a:schemeClr>
                      </a:gs>
                      <a:gs pos="79000">
                        <a:schemeClr val="accent1">
                          <a:tint val="52000"/>
                          <a:satMod val="300000"/>
                        </a:schemeClr>
                      </a:gs>
                      <a:gs pos="100000">
                        <a:schemeClr val="accent1">
                          <a:tint val="40000"/>
                          <a:satMod val="250000"/>
                        </a:schemeClr>
                      </a:gs>
                    </a:gsLst>
                    <a:lin ang="5400000"/>
                  </a:gradFill>
                  <a:effectLst/>
                </a:endParaRP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42077312"/>
        <c:crosses val="autoZero"/>
        <c:crossBetween val="midCat"/>
      </c:valAx>
    </c:plotArea>
    <c:plotVisOnly val="1"/>
    <c:dispBlanksAs val="gap"/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16200000" scaled="1"/>
      <a:tileRect/>
    </a:gradFill>
  </c:spPr>
  <c:printSettings>
    <c:headerFooter/>
    <c:pageMargins b="0.78740157499999996" l="0.511811024" r="0.511811024" t="0.78740157499999996" header="0.31496062000000025" footer="0.31496062000000025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45</xdr:row>
      <xdr:rowOff>171449</xdr:rowOff>
    </xdr:from>
    <xdr:to>
      <xdr:col>7</xdr:col>
      <xdr:colOff>381000</xdr:colOff>
      <xdr:row>72</xdr:row>
      <xdr:rowOff>161924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285750</xdr:colOff>
          <xdr:row>3</xdr:row>
          <xdr:rowOff>85725</xdr:rowOff>
        </xdr:from>
        <xdr:to>
          <xdr:col>11</xdr:col>
          <xdr:colOff>304800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6600"/>
                  </a:solidFill>
                  <a:latin typeface="Calibri"/>
                </a:rPr>
                <a:t>Alterar / Adicionar / Remover</a:t>
              </a:r>
            </a:p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6600"/>
                  </a:solidFill>
                  <a:latin typeface="Calibri"/>
                </a:rPr>
                <a:t>Dados</a:t>
              </a: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285750</xdr:colOff>
          <xdr:row>6</xdr:row>
          <xdr:rowOff>28575</xdr:rowOff>
        </xdr:from>
        <xdr:to>
          <xdr:col>10</xdr:col>
          <xdr:colOff>352425</xdr:colOff>
          <xdr:row>7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alibri"/>
                </a:rPr>
                <a:t>Ocultar linhas vazias</a:t>
              </a:r>
              <a:endParaRPr lang="pt-BR"/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350336</xdr:colOff>
      <xdr:row>8</xdr:row>
      <xdr:rowOff>148167</xdr:rowOff>
    </xdr:from>
    <xdr:to>
      <xdr:col>11</xdr:col>
      <xdr:colOff>28575</xdr:colOff>
      <xdr:row>11</xdr:row>
      <xdr:rowOff>64824</xdr:rowOff>
    </xdr:to>
    <xdr:sp macro="" textlink="">
      <xdr:nvSpPr>
        <xdr:cNvPr id="5" name="Ondulado 4"/>
        <xdr:cNvSpPr/>
      </xdr:nvSpPr>
      <xdr:spPr>
        <a:xfrm>
          <a:off x="6446336" y="2577042"/>
          <a:ext cx="2097589" cy="631032"/>
        </a:xfrm>
        <a:prstGeom prst="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REGRESSÃO LINEAR</a:t>
          </a:r>
        </a:p>
      </xdr:txBody>
    </xdr:sp>
    <xdr:clientData/>
  </xdr:twoCellAnchor>
  <xdr:twoCellAnchor>
    <xdr:from>
      <xdr:col>8</xdr:col>
      <xdr:colOff>0</xdr:colOff>
      <xdr:row>0</xdr:row>
      <xdr:rowOff>66675</xdr:rowOff>
    </xdr:from>
    <xdr:to>
      <xdr:col>12</xdr:col>
      <xdr:colOff>176211</xdr:colOff>
      <xdr:row>1</xdr:row>
      <xdr:rowOff>19050</xdr:rowOff>
    </xdr:to>
    <xdr:sp macro="" textlink="">
      <xdr:nvSpPr>
        <xdr:cNvPr id="6" name="CaixaDeTexto 5"/>
        <xdr:cNvSpPr txBox="1"/>
      </xdr:nvSpPr>
      <xdr:spPr>
        <a:xfrm>
          <a:off x="6505575" y="66675"/>
          <a:ext cx="2881311" cy="571500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Preencha os campos em verde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B1:N45"/>
  <sheetViews>
    <sheetView showGridLines="0" tabSelected="1" workbookViewId="0">
      <selection activeCell="D45" sqref="D45"/>
    </sheetView>
  </sheetViews>
  <sheetFormatPr defaultRowHeight="15" x14ac:dyDescent="0.25"/>
  <cols>
    <col min="1" max="1" width="2.7109375" style="1" customWidth="1"/>
    <col min="2" max="2" width="17" style="1" customWidth="1"/>
    <col min="3" max="6" width="14.42578125" style="1" customWidth="1"/>
    <col min="7" max="7" width="14" style="1" customWidth="1"/>
    <col min="8" max="8" width="6.140625" style="1" customWidth="1"/>
    <col min="9" max="9" width="9.7109375" style="1" customWidth="1"/>
    <col min="10" max="10" width="4.42578125" style="1" customWidth="1"/>
    <col min="11" max="11" width="16" style="1" customWidth="1"/>
    <col min="12" max="12" width="10.42578125" style="1" customWidth="1"/>
    <col min="13" max="13" width="9.5703125" style="1" customWidth="1"/>
    <col min="14" max="16384" width="9.140625" style="1"/>
  </cols>
  <sheetData>
    <row r="1" spans="2:14" ht="48.75" customHeight="1" x14ac:dyDescent="0.25">
      <c r="B1" s="41" t="s">
        <v>20</v>
      </c>
      <c r="C1" s="41"/>
      <c r="D1" s="41"/>
      <c r="E1" s="41"/>
    </row>
    <row r="2" spans="2:14" ht="30" x14ac:dyDescent="0.25">
      <c r="B2" s="2" t="s">
        <v>0</v>
      </c>
      <c r="C2" s="3" t="s">
        <v>10</v>
      </c>
      <c r="D2" s="3" t="s">
        <v>11</v>
      </c>
      <c r="E2" s="4" t="s">
        <v>4</v>
      </c>
      <c r="F2" s="4" t="s">
        <v>15</v>
      </c>
      <c r="G2" s="5" t="s">
        <v>16</v>
      </c>
    </row>
    <row r="3" spans="2:14" ht="18.75" customHeight="1" x14ac:dyDescent="0.25">
      <c r="B3" s="18">
        <v>1</v>
      </c>
      <c r="C3" s="39">
        <v>0.25</v>
      </c>
      <c r="D3" s="39">
        <v>500</v>
      </c>
      <c r="E3" s="19">
        <f t="shared" ref="E3:E22" si="0">ROUND(C3*D3,nCasas)</f>
        <v>125</v>
      </c>
      <c r="F3" s="19">
        <f t="shared" ref="F3:G18" si="1">ROUND(C3^2,nCasas)</f>
        <v>6.3E-2</v>
      </c>
      <c r="G3" s="20">
        <f t="shared" si="1"/>
        <v>250000</v>
      </c>
      <c r="I3" s="4" t="s">
        <v>2</v>
      </c>
      <c r="J3" s="22">
        <v>3</v>
      </c>
    </row>
    <row r="4" spans="2:14" ht="18.75" customHeight="1" x14ac:dyDescent="0.25">
      <c r="B4" s="18">
        <f>B3+1</f>
        <v>2</v>
      </c>
      <c r="C4" s="39">
        <v>0.5</v>
      </c>
      <c r="D4" s="39">
        <v>400</v>
      </c>
      <c r="E4" s="19">
        <f t="shared" si="0"/>
        <v>200</v>
      </c>
      <c r="F4" s="19">
        <f t="shared" si="1"/>
        <v>0.25</v>
      </c>
      <c r="G4" s="20">
        <f t="shared" si="1"/>
        <v>160000</v>
      </c>
    </row>
    <row r="5" spans="2:14" ht="18.75" customHeight="1" x14ac:dyDescent="0.25">
      <c r="B5" s="18">
        <f t="shared" ref="B5:B22" si="2">B4+1</f>
        <v>3</v>
      </c>
      <c r="C5" s="39">
        <v>1</v>
      </c>
      <c r="D5" s="39">
        <v>300</v>
      </c>
      <c r="E5" s="19">
        <f t="shared" si="0"/>
        <v>300</v>
      </c>
      <c r="F5" s="19">
        <f t="shared" si="1"/>
        <v>1</v>
      </c>
      <c r="G5" s="20">
        <f t="shared" si="1"/>
        <v>90000</v>
      </c>
    </row>
    <row r="6" spans="2:14" ht="18.75" customHeight="1" x14ac:dyDescent="0.25">
      <c r="B6" s="18">
        <f t="shared" si="2"/>
        <v>4</v>
      </c>
      <c r="C6" s="39">
        <v>1.5</v>
      </c>
      <c r="D6" s="39">
        <v>280</v>
      </c>
      <c r="E6" s="19">
        <f t="shared" si="0"/>
        <v>420</v>
      </c>
      <c r="F6" s="19">
        <f t="shared" si="1"/>
        <v>2.25</v>
      </c>
      <c r="G6" s="20">
        <f t="shared" si="1"/>
        <v>78400</v>
      </c>
    </row>
    <row r="7" spans="2:14" ht="18.75" customHeight="1" x14ac:dyDescent="0.25">
      <c r="B7" s="18">
        <f t="shared" si="2"/>
        <v>5</v>
      </c>
      <c r="C7" s="39">
        <v>2</v>
      </c>
      <c r="D7" s="39">
        <v>270</v>
      </c>
      <c r="E7" s="19">
        <f t="shared" si="0"/>
        <v>540</v>
      </c>
      <c r="F7" s="19">
        <f t="shared" si="1"/>
        <v>4</v>
      </c>
      <c r="G7" s="20">
        <f t="shared" si="1"/>
        <v>72900</v>
      </c>
    </row>
    <row r="8" spans="2:14" ht="18.75" customHeight="1" x14ac:dyDescent="0.25">
      <c r="B8" s="18">
        <f t="shared" si="2"/>
        <v>6</v>
      </c>
      <c r="C8" s="39">
        <v>2.5</v>
      </c>
      <c r="D8" s="39">
        <v>250</v>
      </c>
      <c r="E8" s="19">
        <f t="shared" si="0"/>
        <v>625</v>
      </c>
      <c r="F8" s="19">
        <f t="shared" si="1"/>
        <v>6.25</v>
      </c>
      <c r="G8" s="20">
        <f t="shared" si="1"/>
        <v>62500</v>
      </c>
    </row>
    <row r="9" spans="2:14" ht="18.75" customHeight="1" x14ac:dyDescent="0.25">
      <c r="B9" s="18">
        <f t="shared" si="2"/>
        <v>7</v>
      </c>
      <c r="C9" s="39">
        <v>3</v>
      </c>
      <c r="D9" s="39">
        <v>210</v>
      </c>
      <c r="E9" s="19">
        <f t="shared" si="0"/>
        <v>630</v>
      </c>
      <c r="F9" s="19">
        <f t="shared" si="1"/>
        <v>9</v>
      </c>
      <c r="G9" s="20">
        <f t="shared" si="1"/>
        <v>44100</v>
      </c>
    </row>
    <row r="10" spans="2:14" ht="18.75" customHeight="1" x14ac:dyDescent="0.25">
      <c r="B10" s="18">
        <f t="shared" si="2"/>
        <v>8</v>
      </c>
      <c r="C10" s="39">
        <v>4</v>
      </c>
      <c r="D10" s="39">
        <v>200</v>
      </c>
      <c r="E10" s="19">
        <f t="shared" si="0"/>
        <v>800</v>
      </c>
      <c r="F10" s="19">
        <f t="shared" si="1"/>
        <v>16</v>
      </c>
      <c r="G10" s="20">
        <f t="shared" si="1"/>
        <v>40000</v>
      </c>
      <c r="M10" s="6"/>
      <c r="N10" s="7"/>
    </row>
    <row r="11" spans="2:14" ht="18.75" customHeight="1" x14ac:dyDescent="0.25">
      <c r="B11" s="18">
        <f t="shared" si="2"/>
        <v>9</v>
      </c>
      <c r="C11" s="39">
        <v>6</v>
      </c>
      <c r="D11" s="39">
        <v>180</v>
      </c>
      <c r="E11" s="19">
        <f t="shared" si="0"/>
        <v>1080</v>
      </c>
      <c r="F11" s="19">
        <f t="shared" si="1"/>
        <v>36</v>
      </c>
      <c r="G11" s="20">
        <f t="shared" si="1"/>
        <v>32400</v>
      </c>
      <c r="M11" s="6"/>
      <c r="N11" s="7"/>
    </row>
    <row r="12" spans="2:14" ht="18.75" customHeight="1" x14ac:dyDescent="0.25">
      <c r="B12" s="18">
        <f t="shared" si="2"/>
        <v>10</v>
      </c>
      <c r="C12" s="39">
        <v>8</v>
      </c>
      <c r="D12" s="39">
        <v>170</v>
      </c>
      <c r="E12" s="19">
        <f t="shared" si="0"/>
        <v>1360</v>
      </c>
      <c r="F12" s="19">
        <f t="shared" si="1"/>
        <v>64</v>
      </c>
      <c r="G12" s="20">
        <f t="shared" si="1"/>
        <v>28900</v>
      </c>
      <c r="M12" s="6"/>
      <c r="N12" s="7"/>
    </row>
    <row r="13" spans="2:14" ht="18.75" customHeight="1" x14ac:dyDescent="0.25">
      <c r="B13" s="18">
        <f t="shared" si="2"/>
        <v>11</v>
      </c>
      <c r="C13" s="39">
        <v>10</v>
      </c>
      <c r="D13" s="39">
        <v>150</v>
      </c>
      <c r="E13" s="19">
        <f t="shared" si="0"/>
        <v>1500</v>
      </c>
      <c r="F13" s="19">
        <f t="shared" si="1"/>
        <v>100</v>
      </c>
      <c r="G13" s="20">
        <f t="shared" si="1"/>
        <v>22500</v>
      </c>
      <c r="M13" s="6"/>
      <c r="N13" s="7"/>
    </row>
    <row r="14" spans="2:14" ht="18.75" hidden="1" customHeight="1" x14ac:dyDescent="0.25">
      <c r="B14" s="18">
        <f t="shared" si="2"/>
        <v>12</v>
      </c>
      <c r="C14" s="39"/>
      <c r="D14" s="39"/>
      <c r="E14" s="19">
        <f t="shared" si="0"/>
        <v>0</v>
      </c>
      <c r="F14" s="19">
        <f t="shared" si="1"/>
        <v>0</v>
      </c>
      <c r="G14" s="20">
        <f t="shared" si="1"/>
        <v>0</v>
      </c>
      <c r="M14" s="6"/>
      <c r="N14" s="7"/>
    </row>
    <row r="15" spans="2:14" ht="18.75" hidden="1" customHeight="1" x14ac:dyDescent="0.25">
      <c r="B15" s="18">
        <f t="shared" si="2"/>
        <v>13</v>
      </c>
      <c r="C15" s="39"/>
      <c r="D15" s="39"/>
      <c r="E15" s="19">
        <f t="shared" si="0"/>
        <v>0</v>
      </c>
      <c r="F15" s="19">
        <f t="shared" si="1"/>
        <v>0</v>
      </c>
      <c r="G15" s="20">
        <f t="shared" si="1"/>
        <v>0</v>
      </c>
      <c r="M15" s="6"/>
      <c r="N15" s="7"/>
    </row>
    <row r="16" spans="2:14" ht="18.75" hidden="1" customHeight="1" x14ac:dyDescent="0.25">
      <c r="B16" s="18">
        <f t="shared" si="2"/>
        <v>14</v>
      </c>
      <c r="C16" s="39"/>
      <c r="D16" s="39"/>
      <c r="E16" s="19">
        <f t="shared" si="0"/>
        <v>0</v>
      </c>
      <c r="F16" s="19">
        <f t="shared" si="1"/>
        <v>0</v>
      </c>
      <c r="G16" s="20">
        <f t="shared" si="1"/>
        <v>0</v>
      </c>
      <c r="M16" s="6"/>
      <c r="N16" s="7"/>
    </row>
    <row r="17" spans="2:14" ht="18.75" hidden="1" customHeight="1" x14ac:dyDescent="0.25">
      <c r="B17" s="18">
        <f t="shared" si="2"/>
        <v>15</v>
      </c>
      <c r="C17" s="39"/>
      <c r="D17" s="39"/>
      <c r="E17" s="19">
        <f t="shared" si="0"/>
        <v>0</v>
      </c>
      <c r="F17" s="19">
        <f t="shared" si="1"/>
        <v>0</v>
      </c>
      <c r="G17" s="20">
        <f t="shared" si="1"/>
        <v>0</v>
      </c>
      <c r="M17" s="6"/>
      <c r="N17" s="7"/>
    </row>
    <row r="18" spans="2:14" ht="18.75" hidden="1" customHeight="1" x14ac:dyDescent="0.25">
      <c r="B18" s="18">
        <f t="shared" si="2"/>
        <v>16</v>
      </c>
      <c r="C18" s="39"/>
      <c r="D18" s="39"/>
      <c r="E18" s="19">
        <f t="shared" si="0"/>
        <v>0</v>
      </c>
      <c r="F18" s="19">
        <f t="shared" si="1"/>
        <v>0</v>
      </c>
      <c r="G18" s="20">
        <f t="shared" si="1"/>
        <v>0</v>
      </c>
      <c r="M18" s="6"/>
      <c r="N18" s="7"/>
    </row>
    <row r="19" spans="2:14" ht="18.75" hidden="1" customHeight="1" x14ac:dyDescent="0.25">
      <c r="B19" s="18">
        <f t="shared" si="2"/>
        <v>17</v>
      </c>
      <c r="C19" s="39"/>
      <c r="D19" s="39"/>
      <c r="E19" s="19">
        <f t="shared" si="0"/>
        <v>0</v>
      </c>
      <c r="F19" s="19">
        <f t="shared" ref="F19:G22" si="3">ROUND(C19^2,nCasas)</f>
        <v>0</v>
      </c>
      <c r="G19" s="20">
        <f t="shared" si="3"/>
        <v>0</v>
      </c>
      <c r="M19" s="6"/>
      <c r="N19" s="7"/>
    </row>
    <row r="20" spans="2:14" ht="18.75" hidden="1" customHeight="1" x14ac:dyDescent="0.25">
      <c r="B20" s="18">
        <f t="shared" si="2"/>
        <v>18</v>
      </c>
      <c r="C20" s="39"/>
      <c r="D20" s="39"/>
      <c r="E20" s="19">
        <f t="shared" si="0"/>
        <v>0</v>
      </c>
      <c r="F20" s="19">
        <f t="shared" si="3"/>
        <v>0</v>
      </c>
      <c r="G20" s="20">
        <f t="shared" si="3"/>
        <v>0</v>
      </c>
      <c r="M20" s="6"/>
      <c r="N20" s="7"/>
    </row>
    <row r="21" spans="2:14" ht="18.75" hidden="1" customHeight="1" x14ac:dyDescent="0.25">
      <c r="B21" s="18">
        <f t="shared" si="2"/>
        <v>19</v>
      </c>
      <c r="C21" s="39"/>
      <c r="D21" s="39"/>
      <c r="E21" s="19">
        <f t="shared" si="0"/>
        <v>0</v>
      </c>
      <c r="F21" s="19">
        <f t="shared" si="3"/>
        <v>0</v>
      </c>
      <c r="G21" s="20">
        <f t="shared" si="3"/>
        <v>0</v>
      </c>
      <c r="M21" s="6"/>
      <c r="N21" s="7"/>
    </row>
    <row r="22" spans="2:14" ht="18.75" hidden="1" customHeight="1" x14ac:dyDescent="0.25">
      <c r="B22" s="18">
        <f t="shared" si="2"/>
        <v>20</v>
      </c>
      <c r="C22" s="39"/>
      <c r="D22" s="39"/>
      <c r="E22" s="19">
        <f t="shared" si="0"/>
        <v>0</v>
      </c>
      <c r="F22" s="19">
        <f t="shared" si="3"/>
        <v>0</v>
      </c>
      <c r="G22" s="20">
        <f t="shared" si="3"/>
        <v>0</v>
      </c>
      <c r="M22" s="6"/>
      <c r="N22" s="7"/>
    </row>
    <row r="23" spans="2:14" ht="18.75" customHeight="1" x14ac:dyDescent="0.25">
      <c r="B23" s="2" t="s">
        <v>3</v>
      </c>
      <c r="C23" s="8">
        <f>SUM(C3:C22)</f>
        <v>38.75</v>
      </c>
      <c r="D23" s="8">
        <f>SUM(D3:D22)</f>
        <v>2910</v>
      </c>
      <c r="E23" s="11">
        <f>SUM(E3:E22)</f>
        <v>7580</v>
      </c>
      <c r="F23" s="11">
        <f>SUM(F3:F22)</f>
        <v>238.81299999999999</v>
      </c>
      <c r="G23" s="21">
        <f>SUM(G3:G22)</f>
        <v>881700</v>
      </c>
    </row>
    <row r="26" spans="2:14" x14ac:dyDescent="0.25">
      <c r="B26" s="9" t="s">
        <v>1</v>
      </c>
      <c r="C26" s="4">
        <f>COUNT(ColX)</f>
        <v>11</v>
      </c>
    </row>
    <row r="27" spans="2:14" ht="18" x14ac:dyDescent="0.25">
      <c r="B27" s="9" t="s">
        <v>17</v>
      </c>
      <c r="C27" s="11">
        <f>ROUND(n*xyTot-xTot*yTot,nCasas)</f>
        <v>-29382.5</v>
      </c>
    </row>
    <row r="28" spans="2:14" ht="18" x14ac:dyDescent="0.25">
      <c r="B28" s="9" t="s">
        <v>18</v>
      </c>
      <c r="C28" s="11">
        <f>ROUND(n*x2Tot-xTot^2,nCasas)</f>
        <v>1125.3810000000001</v>
      </c>
    </row>
    <row r="29" spans="2:14" ht="18" x14ac:dyDescent="0.25">
      <c r="B29" s="9" t="s">
        <v>19</v>
      </c>
      <c r="C29" s="11">
        <f>ROUND(n*y2Tot-yTot^2,nCasas)</f>
        <v>1230600</v>
      </c>
    </row>
    <row r="31" spans="2:14" ht="30" x14ac:dyDescent="0.25">
      <c r="B31" s="10" t="s">
        <v>12</v>
      </c>
      <c r="C31" s="11">
        <f>ROUND(Sxy/SQRT(Sx*Sy),3)</f>
        <v>-0.79</v>
      </c>
      <c r="D31" s="23" t="str">
        <f>"Correlação " &amp; IF(AND(ABS(CoefCorr)&gt;0,ABS(CoefCorr)&lt;=0.3),"Fraca",IF(AND(ABS(CoefCorr)&gt;0.3,ABS(CoefCorr)&lt;=0.6),"Moderada","Forte"))</f>
        <v>Correlação Forte</v>
      </c>
    </row>
    <row r="33" spans="2:11" x14ac:dyDescent="0.25">
      <c r="B33" s="12" t="s">
        <v>13</v>
      </c>
      <c r="D33" s="27" t="s">
        <v>22</v>
      </c>
    </row>
    <row r="34" spans="2:11" x14ac:dyDescent="0.25">
      <c r="B34" s="13" t="s">
        <v>6</v>
      </c>
      <c r="C34" s="11">
        <f>ROUND(Sxy/Sx,nCasas)</f>
        <v>-26.109000000000002</v>
      </c>
    </row>
    <row r="35" spans="2:11" x14ac:dyDescent="0.25">
      <c r="B35" s="14" t="s">
        <v>7</v>
      </c>
      <c r="C35" s="19">
        <f>ROUND(xTot/n,nCasas)</f>
        <v>3.5230000000000001</v>
      </c>
      <c r="D35" s="1" t="s">
        <v>14</v>
      </c>
    </row>
    <row r="36" spans="2:11" x14ac:dyDescent="0.25">
      <c r="B36" s="14" t="s">
        <v>8</v>
      </c>
      <c r="C36" s="19">
        <f>ROUND(yTot/n,nCasas)</f>
        <v>264.54500000000002</v>
      </c>
      <c r="D36" s="1" t="s">
        <v>14</v>
      </c>
    </row>
    <row r="37" spans="2:11" x14ac:dyDescent="0.25">
      <c r="B37" s="14" t="s">
        <v>9</v>
      </c>
      <c r="C37" s="11">
        <f>ROUND(y_linha-a*x_linha,nCasas)</f>
        <v>356.52699999999999</v>
      </c>
    </row>
    <row r="38" spans="2:11" ht="15.75" thickBot="1" x14ac:dyDescent="0.3"/>
    <row r="39" spans="2:11" x14ac:dyDescent="0.25">
      <c r="B39" s="42" t="str">
        <f>"ŷ  =   " &amp; a &amp; "x  +  " &amp; b</f>
        <v>ŷ  =   -26,109x  +  356,527</v>
      </c>
      <c r="C39" s="42"/>
      <c r="F39" s="29" t="s">
        <v>24</v>
      </c>
      <c r="G39" s="30"/>
      <c r="H39" s="30"/>
      <c r="I39" s="30"/>
      <c r="J39" s="30"/>
      <c r="K39" s="31"/>
    </row>
    <row r="40" spans="2:11" x14ac:dyDescent="0.25">
      <c r="B40" s="15"/>
      <c r="F40" s="32" t="s">
        <v>25</v>
      </c>
      <c r="G40" s="33"/>
      <c r="H40" s="33"/>
      <c r="I40" s="33"/>
      <c r="J40" s="33"/>
      <c r="K40" s="34"/>
    </row>
    <row r="41" spans="2:11" ht="15.75" thickBot="1" x14ac:dyDescent="0.3">
      <c r="F41" s="35" t="s">
        <v>26</v>
      </c>
      <c r="G41" s="36"/>
      <c r="H41" s="36"/>
      <c r="I41" s="36"/>
      <c r="J41" s="36"/>
      <c r="K41" s="37"/>
    </row>
    <row r="42" spans="2:11" ht="15" customHeight="1" x14ac:dyDescent="0.25">
      <c r="B42" s="24" t="s">
        <v>27</v>
      </c>
    </row>
    <row r="43" spans="2:11" ht="15.75" x14ac:dyDescent="0.25">
      <c r="B43" s="17" t="s">
        <v>21</v>
      </c>
      <c r="C43" s="16" t="s">
        <v>5</v>
      </c>
      <c r="D43" s="40">
        <v>2.5</v>
      </c>
      <c r="E43" s="38">
        <f>IFERROR(VLOOKUP(D43,Dados,2,0),"")</f>
        <v>250</v>
      </c>
      <c r="F43" s="28" t="str">
        <f>IF(y_Real="","","   *Neste caso, a diferença entre o tempo real (" &amp; y_Real &amp; " ms) e o estimado foi de " &amp;y_Real-y_Estimativa&amp;" ms, ou seja,")</f>
        <v xml:space="preserve">   *Neste caso, a diferença entre o tempo real (250 ms) e o estimado foi de -41,255 ms, ou seja,</v>
      </c>
    </row>
    <row r="44" spans="2:11" x14ac:dyDescent="0.25">
      <c r="E44"/>
      <c r="F44" s="28" t="str">
        <f>IF(y_Real="","","estimava-se que o tempo fosse")</f>
        <v>estimava-se que o tempo fosse</v>
      </c>
      <c r="H44" s="28" t="str">
        <f>IF(y_Real="","",IF(y_Real-y_Estimativa&gt;0,"menor.",IF(y_Real-y_Estimativa&lt;0,"maior.","esse mesmo.")))</f>
        <v>maior.</v>
      </c>
    </row>
    <row r="45" spans="2:11" x14ac:dyDescent="0.25">
      <c r="B45" s="25" t="s">
        <v>23</v>
      </c>
      <c r="C45" s="13" t="str">
        <f>"ŷ"&amp;OutroDado &amp; " ="</f>
        <v>ŷ2,5 =</v>
      </c>
      <c r="D45" s="26">
        <f>IFERROR(ROUND(a*OutroDado+b,nCasas),"")</f>
        <v>291.255</v>
      </c>
      <c r="E45"/>
    </row>
  </sheetData>
  <sheetProtection sheet="1" objects="1" scenarios="1"/>
  <mergeCells count="2">
    <mergeCell ref="B1:E1"/>
    <mergeCell ref="B39:C39"/>
  </mergeCells>
  <pageMargins left="0.51181102362204722" right="0.51181102362204722" top="0.78740157480314965" bottom="0.78740157480314965" header="0.31496062992125984" footer="0.31496062992125984"/>
  <pageSetup paperSize="9" scale="66" orientation="portrait" r:id="rId1"/>
  <headerFooter>
    <oddFooter>&amp;RExercicio 04
Adriano Bortoloto
&amp;D 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an1.BotaoAlterarAdicRemov">
                <anchor>
                  <from>
                    <xdr:col>7</xdr:col>
                    <xdr:colOff>285750</xdr:colOff>
                    <xdr:row>3</xdr:row>
                    <xdr:rowOff>85725</xdr:rowOff>
                  </from>
                  <to>
                    <xdr:col>11</xdr:col>
                    <xdr:colOff>304800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n1.BotaoOcultarLinhasVazias">
                <anchor>
                  <from>
                    <xdr:col>7</xdr:col>
                    <xdr:colOff>285750</xdr:colOff>
                    <xdr:row>6</xdr:row>
                    <xdr:rowOff>28575</xdr:rowOff>
                  </from>
                  <to>
                    <xdr:col>10</xdr:col>
                    <xdr:colOff>352425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25</vt:i4>
      </vt:variant>
    </vt:vector>
  </HeadingPairs>
  <TitlesOfParts>
    <vt:vector size="26" baseType="lpstr">
      <vt:lpstr>Ex04</vt:lpstr>
      <vt:lpstr>a</vt:lpstr>
      <vt:lpstr>b</vt:lpstr>
      <vt:lpstr>CoefCorr</vt:lpstr>
      <vt:lpstr>ColX</vt:lpstr>
      <vt:lpstr>ColY</vt:lpstr>
      <vt:lpstr>Dados</vt:lpstr>
      <vt:lpstr>i_Interv</vt:lpstr>
      <vt:lpstr>n</vt:lpstr>
      <vt:lpstr>nCasas</vt:lpstr>
      <vt:lpstr>OutroDado</vt:lpstr>
      <vt:lpstr>Sx</vt:lpstr>
      <vt:lpstr>Sxy</vt:lpstr>
      <vt:lpstr>Sy</vt:lpstr>
      <vt:lpstr>x_linha</vt:lpstr>
      <vt:lpstr>x2Tot</vt:lpstr>
      <vt:lpstr>XQuad</vt:lpstr>
      <vt:lpstr>xTot</vt:lpstr>
      <vt:lpstr>XY</vt:lpstr>
      <vt:lpstr>xyTot</vt:lpstr>
      <vt:lpstr>y_Estimativa</vt:lpstr>
      <vt:lpstr>y_linha</vt:lpstr>
      <vt:lpstr>y_Real</vt:lpstr>
      <vt:lpstr>y2Tot</vt:lpstr>
      <vt:lpstr>YQuad</vt:lpstr>
      <vt:lpstr>yTot</vt:lpstr>
    </vt:vector>
  </TitlesOfParts>
  <Company>Sony Electronics,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Mitxos</dc:creator>
  <cp:lastModifiedBy>Adriano Bortoloto</cp:lastModifiedBy>
  <cp:lastPrinted>2011-10-10T14:59:44Z</cp:lastPrinted>
  <dcterms:created xsi:type="dcterms:W3CDTF">2011-09-26T22:20:21Z</dcterms:created>
  <dcterms:modified xsi:type="dcterms:W3CDTF">2015-09-11T18:27:14Z</dcterms:modified>
</cp:coreProperties>
</file>