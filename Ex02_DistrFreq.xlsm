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120" yWindow="45" windowWidth="15480" windowHeight="7995"/>
  </bookViews>
  <sheets>
    <sheet name="Ex02" sheetId="1" r:id="rId1"/>
  </sheets>
  <definedNames>
    <definedName name="AreaContagemCasasDec">'Ex02'!$AA$50:$AA$100</definedName>
    <definedName name="CC">'Ex02'!$P$8</definedName>
    <definedName name="CoefAssim">'Ex02'!$P$6</definedName>
    <definedName name="CoefVar">'Ex02'!$P$4</definedName>
    <definedName name="Col_xi2fi">'Ex02'!$D$12:$D$31</definedName>
    <definedName name="Col_xifi">'Ex02'!$C$12:$C$31</definedName>
    <definedName name="DadosClassif">'Ex02'!$A$12:$A$31</definedName>
    <definedName name="DadosOrig">'Ex02'!$A$2:$H$5</definedName>
    <definedName name="DecPercentil">'Ex02'!$M$10</definedName>
    <definedName name="Max">'Ex02'!$H$8</definedName>
    <definedName name="Md">'Ex02'!$M$6</definedName>
    <definedName name="Media">'Ex02'!$B$7</definedName>
    <definedName name="Min">'Ex02'!$H$7</definedName>
    <definedName name="Mo">'Ex02'!$B$8</definedName>
    <definedName name="n">'Ex02'!$B$32</definedName>
    <definedName name="nCasasDec">'Ex02'!$E$7</definedName>
    <definedName name="NonaPercentil">'Ex02'!$M$11</definedName>
    <definedName name="Percentis">'Ex02'!$M$10:$M$11</definedName>
    <definedName name="PrimQuartil">'Ex02'!$M$5</definedName>
    <definedName name="Quartis">'Ex02'!$M$5:$M$7</definedName>
    <definedName name="s">'Ex02'!$P$2</definedName>
    <definedName name="TercQuartil">'Ex02'!$M$7</definedName>
    <definedName name="xi2fi">'Ex02'!$D$32</definedName>
    <definedName name="xifi">'Ex02'!$C$32</definedName>
  </definedNames>
  <calcPr calcId="145621"/>
</workbook>
</file>

<file path=xl/calcChain.xml><?xml version="1.0" encoding="utf-8"?>
<calcChain xmlns="http://schemas.openxmlformats.org/spreadsheetml/2006/main">
  <c r="B24" i="1" l="1"/>
  <c r="C24" i="1" s="1"/>
  <c r="D24" i="1" s="1"/>
  <c r="B25" i="1"/>
  <c r="C25" i="1" s="1"/>
  <c r="D25" i="1" s="1"/>
  <c r="B26" i="1"/>
  <c r="C26" i="1"/>
  <c r="D26" i="1"/>
  <c r="E26" i="1"/>
  <c r="B27" i="1"/>
  <c r="C27" i="1"/>
  <c r="D27" i="1"/>
  <c r="E27" i="1"/>
  <c r="B28" i="1"/>
  <c r="C28" i="1"/>
  <c r="D28" i="1"/>
  <c r="E28" i="1"/>
  <c r="B29" i="1"/>
  <c r="C29" i="1"/>
  <c r="D29" i="1"/>
  <c r="E29" i="1"/>
  <c r="B30" i="1"/>
  <c r="C30" i="1"/>
  <c r="D30" i="1"/>
  <c r="E30" i="1"/>
  <c r="B31" i="1"/>
  <c r="C31" i="1"/>
  <c r="D31" i="1"/>
  <c r="E31" i="1"/>
  <c r="H7" i="1"/>
  <c r="H8" i="1"/>
  <c r="B12" i="1"/>
  <c r="E12" i="1" s="1"/>
  <c r="B13" i="1"/>
  <c r="C13" i="1" s="1"/>
  <c r="D13" i="1" s="1"/>
  <c r="B14" i="1"/>
  <c r="C14" i="1" s="1"/>
  <c r="D14" i="1" s="1"/>
  <c r="B15" i="1"/>
  <c r="C15" i="1" s="1"/>
  <c r="D15" i="1" s="1"/>
  <c r="B16" i="1"/>
  <c r="C16" i="1" s="1"/>
  <c r="D16" i="1" s="1"/>
  <c r="B17" i="1"/>
  <c r="C17" i="1" s="1"/>
  <c r="D17" i="1" s="1"/>
  <c r="B18" i="1"/>
  <c r="C18" i="1" s="1"/>
  <c r="D18" i="1" s="1"/>
  <c r="B19" i="1"/>
  <c r="C19" i="1" s="1"/>
  <c r="D19" i="1" s="1"/>
  <c r="B20" i="1"/>
  <c r="C20" i="1" s="1"/>
  <c r="D20" i="1" s="1"/>
  <c r="B21" i="1"/>
  <c r="C21" i="1" s="1"/>
  <c r="D21" i="1" s="1"/>
  <c r="B22" i="1"/>
  <c r="C22" i="1" s="1"/>
  <c r="D22" i="1" s="1"/>
  <c r="B23" i="1"/>
  <c r="C23" i="1" s="1"/>
  <c r="D23" i="1" s="1"/>
  <c r="B8" i="1"/>
  <c r="B32" i="1" l="1"/>
  <c r="E13" i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C12" i="1"/>
  <c r="C32" i="1" s="1"/>
  <c r="K35" i="1" s="1"/>
  <c r="M5" i="1"/>
  <c r="M11" i="1"/>
  <c r="M10" i="1"/>
  <c r="M7" i="1"/>
  <c r="P42" i="1" s="1"/>
  <c r="M6" i="1"/>
  <c r="P41" i="1" l="1"/>
  <c r="P40" i="1"/>
  <c r="D12" i="1"/>
  <c r="D32" i="1" s="1"/>
  <c r="P8" i="1"/>
  <c r="Q8" i="1" s="1"/>
  <c r="K11" i="1"/>
  <c r="B7" i="1" l="1"/>
  <c r="K38" i="1" s="1"/>
  <c r="K5" i="1"/>
  <c r="K6" i="1" s="1"/>
  <c r="K10" i="1"/>
  <c r="K7" i="1" l="1"/>
  <c r="P2" i="1"/>
  <c r="P4" i="1" s="1"/>
  <c r="P6" i="1" l="1"/>
  <c r="Q6" i="1" s="1"/>
</calcChain>
</file>

<file path=xl/sharedStrings.xml><?xml version="1.0" encoding="utf-8"?>
<sst xmlns="http://schemas.openxmlformats.org/spreadsheetml/2006/main" count="43" uniqueCount="37">
  <si>
    <t>Valor</t>
  </si>
  <si>
    <t>Média:</t>
  </si>
  <si>
    <t>Fix</t>
  </si>
  <si>
    <t>Quartis</t>
  </si>
  <si>
    <t>Percentis</t>
  </si>
  <si>
    <r>
      <t>f</t>
    </r>
    <r>
      <rPr>
        <b/>
        <i/>
        <vertAlign val="subscript"/>
        <sz val="11"/>
        <color theme="1"/>
        <rFont val="Calibri"/>
        <family val="2"/>
        <scheme val="minor"/>
      </rPr>
      <t>i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</si>
  <si>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i/>
        <sz val="11"/>
        <color theme="1"/>
        <rFont val="Calibri"/>
        <family val="2"/>
        <scheme val="minor"/>
      </rPr>
      <t>f</t>
    </r>
    <r>
      <rPr>
        <b/>
        <vertAlign val="subscript"/>
        <sz val="11"/>
        <color theme="1"/>
        <rFont val="Calibri"/>
        <family val="2"/>
        <scheme val="minor"/>
      </rPr>
      <t>i</t>
    </r>
  </si>
  <si>
    <r>
      <t>x</t>
    </r>
    <r>
      <rPr>
        <b/>
        <vertAlign val="subscript"/>
        <sz val="11"/>
        <color theme="1"/>
        <rFont val="Calibri"/>
        <family val="2"/>
        <scheme val="minor"/>
      </rPr>
      <t>i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i/>
        <sz val="11"/>
        <color theme="1"/>
        <rFont val="Calibri"/>
        <family val="2"/>
        <scheme val="minor"/>
      </rPr>
      <t>f</t>
    </r>
    <r>
      <rPr>
        <b/>
        <vertAlign val="subscript"/>
        <sz val="11"/>
        <color theme="1"/>
        <rFont val="Calibri"/>
        <family val="2"/>
        <scheme val="minor"/>
      </rPr>
      <t>i</t>
    </r>
  </si>
  <si>
    <t>1q</t>
  </si>
  <si>
    <t>Md</t>
  </si>
  <si>
    <t>3q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</si>
  <si>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1q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</si>
  <si>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Md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</si>
  <si>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3q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</si>
  <si>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10p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</si>
  <si>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90p</t>
    </r>
  </si>
  <si>
    <t>Posição</t>
  </si>
  <si>
    <t>10p</t>
  </si>
  <si>
    <t>90p</t>
  </si>
  <si>
    <t>Desvio Padrão:</t>
  </si>
  <si>
    <t>Moda:</t>
  </si>
  <si>
    <t>Coef. de Assimetria:</t>
  </si>
  <si>
    <t>Coef. de Variação:</t>
  </si>
  <si>
    <t>Coef. de Curtose:</t>
  </si>
  <si>
    <r>
      <t>x</t>
    </r>
    <r>
      <rPr>
        <b/>
        <i/>
        <vertAlign val="subscript"/>
        <sz val="11"/>
        <color theme="1"/>
        <rFont val="Calibri"/>
        <family val="2"/>
        <scheme val="minor"/>
      </rPr>
      <t>i</t>
    </r>
  </si>
  <si>
    <t>Dados Classificados</t>
  </si>
  <si>
    <t>Mín:</t>
  </si>
  <si>
    <t>Máx:</t>
  </si>
  <si>
    <r>
      <rPr>
        <b/>
        <i/>
        <sz val="11"/>
        <color theme="1"/>
        <rFont val="Calibri"/>
        <family val="2"/>
        <scheme val="minor"/>
      </rPr>
      <t>F</t>
    </r>
    <r>
      <rPr>
        <b/>
        <i/>
        <vertAlign val="subscript"/>
        <sz val="11"/>
        <color theme="1"/>
        <rFont val="Calibri"/>
        <family val="2"/>
        <scheme val="minor"/>
      </rPr>
      <t>i</t>
    </r>
  </si>
  <si>
    <t>SEPARATRIZES</t>
  </si>
  <si>
    <r>
      <t xml:space="preserve">Média de </t>
    </r>
    <r>
      <rPr>
        <i/>
        <sz val="11"/>
        <color theme="1"/>
        <rFont val="Calibri"/>
        <family val="2"/>
        <scheme val="minor"/>
      </rPr>
      <t>Megabytes</t>
    </r>
    <r>
      <rPr>
        <sz val="11"/>
        <color theme="1"/>
        <rFont val="Calibri"/>
        <family val="2"/>
        <scheme val="minor"/>
      </rPr>
      <t xml:space="preserve"> armazenados diariamente:</t>
    </r>
  </si>
  <si>
    <t>Mb.</t>
  </si>
  <si>
    <t>Em 25%</t>
  </si>
  <si>
    <t>Em 50%</t>
  </si>
  <si>
    <r>
      <t xml:space="preserve">Total de </t>
    </r>
    <r>
      <rPr>
        <i/>
        <sz val="11"/>
        <color theme="1"/>
        <rFont val="Calibri"/>
        <family val="2"/>
        <scheme val="minor"/>
      </rPr>
      <t>Megabytes</t>
    </r>
    <r>
      <rPr>
        <sz val="11"/>
        <color theme="1"/>
        <rFont val="Calibri"/>
        <family val="2"/>
        <scheme val="minor"/>
      </rPr>
      <t xml:space="preserve"> armazenados no período:</t>
    </r>
  </si>
  <si>
    <t>dos dias, foram armazenados entre</t>
  </si>
  <si>
    <t>Megabytes armazenados em 31 dias de atualizações do Windows 7: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</si>
</sst>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\°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57">
    <xf numFmtId="0" fontId="0" fillId="0" borderId="0" xfId="0"/>
    <xf numFmtId="0" fontId="0" fillId="0" borderId="0" xfId="0" applyAlignment="1" applyProtection="1">
      <alignment vertical="center"/>
    </xf>
    <xf numFmtId="0" fontId="0" fillId="0" borderId="0" xfId="0" applyProtection="1"/>
    <xf numFmtId="0" fontId="0" fillId="2" borderId="1" xfId="0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0" fillId="0" borderId="6" xfId="0" applyFill="1" applyBorder="1" applyAlignment="1" applyProtection="1">
      <alignment horizontal="center" vertical="center"/>
    </xf>
    <xf numFmtId="0" fontId="1" fillId="0" borderId="4" xfId="0" applyFont="1" applyFill="1" applyBorder="1" applyAlignment="1" applyProtection="1">
      <alignment vertical="center"/>
    </xf>
    <xf numFmtId="0" fontId="1" fillId="2" borderId="7" xfId="0" applyFont="1" applyFill="1" applyBorder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7" fillId="0" borderId="0" xfId="0" applyFont="1" applyProtection="1"/>
    <xf numFmtId="0" fontId="0" fillId="0" borderId="1" xfId="0" applyBorder="1" applyAlignment="1" applyProtection="1">
      <alignment horizontal="center" vertical="center"/>
    </xf>
    <xf numFmtId="0" fontId="1" fillId="0" borderId="6" xfId="0" applyFont="1" applyBorder="1" applyAlignment="1" applyProtection="1">
      <alignment horizontal="center" vertical="center"/>
    </xf>
    <xf numFmtId="0" fontId="2" fillId="0" borderId="7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0" borderId="1" xfId="0" applyFont="1" applyFill="1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right" vertical="center"/>
    </xf>
    <xf numFmtId="0" fontId="0" fillId="0" borderId="0" xfId="0" applyAlignment="1" applyProtection="1">
      <alignment horizontal="right" vertical="center"/>
    </xf>
    <xf numFmtId="0" fontId="0" fillId="0" borderId="3" xfId="0" applyBorder="1" applyAlignment="1" applyProtection="1">
      <alignment vertical="center"/>
    </xf>
    <xf numFmtId="0" fontId="0" fillId="0" borderId="8" xfId="0" applyBorder="1" applyAlignment="1" applyProtection="1">
      <alignment vertical="center"/>
    </xf>
    <xf numFmtId="0" fontId="0" fillId="0" borderId="8" xfId="0" applyBorder="1" applyProtection="1"/>
    <xf numFmtId="0" fontId="0" fillId="0" borderId="2" xfId="0" applyBorder="1" applyProtection="1"/>
    <xf numFmtId="0" fontId="0" fillId="0" borderId="11" xfId="0" applyBorder="1" applyAlignment="1" applyProtection="1">
      <alignment vertical="center"/>
    </xf>
    <xf numFmtId="0" fontId="0" fillId="0" borderId="11" xfId="0" applyBorder="1" applyProtection="1"/>
    <xf numFmtId="0" fontId="0" fillId="0" borderId="9" xfId="0" applyBorder="1" applyProtection="1"/>
    <xf numFmtId="0" fontId="8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0" fillId="0" borderId="11" xfId="0" applyFill="1" applyBorder="1" applyAlignment="1" applyProtection="1">
      <alignment vertical="center"/>
    </xf>
    <xf numFmtId="0" fontId="7" fillId="0" borderId="11" xfId="0" applyFont="1" applyFill="1" applyBorder="1" applyAlignment="1" applyProtection="1">
      <alignment vertical="center"/>
    </xf>
    <xf numFmtId="2" fontId="0" fillId="0" borderId="1" xfId="0" applyNumberFormat="1" applyBorder="1" applyAlignment="1" applyProtection="1">
      <alignment horizontal="center" vertical="center"/>
    </xf>
    <xf numFmtId="9" fontId="0" fillId="0" borderId="3" xfId="0" applyNumberFormat="1" applyFont="1" applyBorder="1" applyAlignment="1" applyProtection="1">
      <alignment horizontal="center" vertical="center"/>
    </xf>
    <xf numFmtId="9" fontId="0" fillId="0" borderId="4" xfId="0" applyNumberFormat="1" applyFont="1" applyBorder="1" applyAlignment="1" applyProtection="1">
      <alignment horizontal="center" vertical="center"/>
    </xf>
    <xf numFmtId="9" fontId="0" fillId="0" borderId="10" xfId="0" applyNumberFormat="1" applyFont="1" applyBorder="1" applyAlignment="1" applyProtection="1">
      <alignment horizontal="center" vertical="center"/>
    </xf>
    <xf numFmtId="0" fontId="10" fillId="0" borderId="2" xfId="0" applyFont="1" applyBorder="1" applyAlignment="1" applyProtection="1">
      <alignment horizontal="center" vertical="center"/>
    </xf>
    <xf numFmtId="0" fontId="10" fillId="0" borderId="12" xfId="0" applyFont="1" applyBorder="1" applyAlignment="1" applyProtection="1">
      <alignment horizontal="center" vertical="center"/>
    </xf>
    <xf numFmtId="0" fontId="10" fillId="0" borderId="9" xfId="0" applyFont="1" applyBorder="1" applyAlignment="1" applyProtection="1">
      <alignment horizontal="center" vertical="center"/>
    </xf>
    <xf numFmtId="0" fontId="11" fillId="0" borderId="10" xfId="0" applyFont="1" applyBorder="1" applyAlignment="1" applyProtection="1">
      <alignment horizontal="center" vertical="center"/>
    </xf>
    <xf numFmtId="0" fontId="10" fillId="0" borderId="11" xfId="0" applyFont="1" applyBorder="1" applyAlignment="1" applyProtection="1">
      <alignment vertical="center"/>
    </xf>
    <xf numFmtId="0" fontId="11" fillId="0" borderId="10" xfId="0" applyFont="1" applyBorder="1" applyProtection="1"/>
    <xf numFmtId="0" fontId="10" fillId="0" borderId="11" xfId="0" applyFont="1" applyBorder="1" applyProtection="1"/>
    <xf numFmtId="165" fontId="0" fillId="0" borderId="1" xfId="0" applyNumberFormat="1" applyBorder="1" applyAlignment="1" applyProtection="1">
      <alignment horizontal="center" vertical="center"/>
    </xf>
    <xf numFmtId="2" fontId="2" fillId="0" borderId="7" xfId="0" applyNumberFormat="1" applyFont="1" applyBorder="1" applyAlignment="1" applyProtection="1">
      <alignment horizontal="center" vertical="center"/>
    </xf>
    <xf numFmtId="2" fontId="0" fillId="0" borderId="1" xfId="0" applyNumberFormat="1" applyFill="1" applyBorder="1" applyAlignment="1" applyProtection="1">
      <alignment horizontal="center" vertical="center"/>
    </xf>
    <xf numFmtId="2" fontId="0" fillId="0" borderId="5" xfId="0" applyNumberFormat="1" applyBorder="1" applyAlignment="1" applyProtection="1">
      <alignment horizontal="center" vertical="center"/>
    </xf>
    <xf numFmtId="2" fontId="0" fillId="0" borderId="1" xfId="1" applyNumberFormat="1" applyFont="1" applyBorder="1" applyAlignment="1" applyProtection="1">
      <alignment horizontal="center" vertical="center"/>
    </xf>
    <xf numFmtId="165" fontId="13" fillId="3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1" fillId="2" borderId="5" xfId="0" applyFont="1" applyFill="1" applyBorder="1" applyAlignment="1" applyProtection="1">
      <alignment horizontal="center" vertical="center"/>
    </xf>
    <xf numFmtId="0" fontId="1" fillId="2" borderId="6" xfId="0" applyFont="1" applyFill="1" applyBorder="1" applyAlignment="1" applyProtection="1">
      <alignment horizontal="center" vertical="center"/>
    </xf>
  </cellXfs>
  <cellStyles count="2">
    <cellStyle name="Normal" xfId="0" builtinId="0"/>
    <cellStyle name="Porcentagem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cap="all" spc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solidFill>
                  <a:schemeClr val="tx2">
                    <a:lumMod val="75000"/>
                  </a:schemeClr>
                </a:solidFill>
                <a:effectLst>
                  <a:reflection blurRad="12700" stA="28000" endPos="45000" dist="1000" dir="5400000" sy="-100000" algn="bl" rotWithShape="0"/>
                </a:effectLst>
              </a:defRPr>
            </a:pPr>
            <a:r>
              <a:rPr lang="pt-BR" sz="1600" b="1" cap="all" spc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solidFill>
                  <a:schemeClr val="tx2">
                    <a:lumMod val="75000"/>
                  </a:schemeClr>
                </a:solidFill>
                <a:effectLst>
                  <a:reflection blurRad="12700" stA="28000" endPos="45000" dist="1000" dir="5400000" sy="-100000" algn="bl" rotWithShape="0"/>
                </a:effectLst>
              </a:rPr>
              <a:t>Polígono</a:t>
            </a:r>
            <a:r>
              <a:rPr lang="pt-BR" sz="1600" b="1" cap="all" spc="0" baseline="0">
                <a:ln w="9000" cmpd="sng">
                  <a:solidFill>
                    <a:schemeClr val="accent4">
                      <a:shade val="50000"/>
                      <a:satMod val="120000"/>
                    </a:schemeClr>
                  </a:solidFill>
                  <a:prstDash val="solid"/>
                </a:ln>
                <a:solidFill>
                  <a:schemeClr val="tx2">
                    <a:lumMod val="75000"/>
                  </a:schemeClr>
                </a:solidFill>
                <a:effectLst>
                  <a:reflection blurRad="12700" stA="28000" endPos="45000" dist="1000" dir="5400000" sy="-100000" algn="bl" rotWithShape="0"/>
                </a:effectLst>
              </a:rPr>
              <a:t> de Frequência</a:t>
            </a:r>
            <a:endParaRPr lang="pt-BR" sz="16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solidFill>
                <a:schemeClr val="tx2">
                  <a:lumMod val="75000"/>
                </a:schemeClr>
              </a:solidFill>
              <a:effectLst>
                <a:reflection blurRad="12700" stA="28000" endPos="45000" dist="1000" dir="5400000" sy="-100000" algn="bl" rotWithShape="0"/>
              </a:effectLst>
            </a:endParaRP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0321174653456021E-2"/>
          <c:y val="0.14390983930270829"/>
          <c:w val="0.84332538999436157"/>
          <c:h val="0.7002271213660215"/>
        </c:manualLayout>
      </c:layout>
      <c:lineChart>
        <c:grouping val="standard"/>
        <c:varyColors val="0"/>
        <c:ser>
          <c:idx val="1"/>
          <c:order val="0"/>
          <c:tx>
            <c:strRef>
              <c:f>'Ex02'!$B$11</c:f>
              <c:strCache>
                <c:ptCount val="1"/>
                <c:pt idx="0">
                  <c:v>fi</c:v>
                </c:pt>
              </c:strCache>
            </c:strRef>
          </c:tx>
          <c:spPr>
            <a:ln w="12700" cap="sq">
              <a:solidFill>
                <a:schemeClr val="accent6">
                  <a:lumMod val="75000"/>
                </a:schemeClr>
              </a:solidFill>
              <a:round/>
            </a:ln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</c:spPr>
          </c:marker>
          <c:cat>
            <c:numRef>
              <c:f>'Ex02'!$A$12:$A$31</c:f>
              <c:numCache>
                <c:formatCode>0.0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2.1</c:v>
                </c:pt>
                <c:pt idx="3">
                  <c:v>3</c:v>
                </c:pt>
                <c:pt idx="4">
                  <c:v>3.8</c:v>
                </c:pt>
                <c:pt idx="5">
                  <c:v>4</c:v>
                </c:pt>
                <c:pt idx="6">
                  <c:v>4.5</c:v>
                </c:pt>
                <c:pt idx="7">
                  <c:v>5</c:v>
                </c:pt>
                <c:pt idx="8">
                  <c:v>5.7</c:v>
                </c:pt>
                <c:pt idx="9">
                  <c:v>6</c:v>
                </c:pt>
                <c:pt idx="10">
                  <c:v>7.5</c:v>
                </c:pt>
                <c:pt idx="11">
                  <c:v>8</c:v>
                </c:pt>
              </c:numCache>
            </c:numRef>
          </c:cat>
          <c:val>
            <c:numRef>
              <c:f>'Ex02'!$B$12:$B$31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6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19050" cap="rnd" cmpd="sng">
              <a:solidFill>
                <a:srgbClr val="4F81BD"/>
              </a:solidFill>
              <a:prstDash val="sysDash"/>
              <a:round/>
              <a:headEnd w="sm" len="sm"/>
              <a:tailEnd type="none" w="sm" len="sm"/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c:spPr>
        </c:dropLines>
        <c:marker val="1"/>
        <c:smooth val="0"/>
        <c:axId val="132227840"/>
        <c:axId val="132229760"/>
      </c:lineChart>
      <c:catAx>
        <c:axId val="132227840"/>
        <c:scaling>
          <c:orientation val="minMax"/>
        </c:scaling>
        <c:delete val="0"/>
        <c:axPos val="b"/>
        <c:title>
          <c:tx>
            <c:rich>
              <a:bodyPr rot="0" anchor="ctr" anchorCtr="1"/>
              <a:lstStyle/>
              <a:p>
                <a:pPr>
                  <a:defRPr sz="12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defRPr>
                </a:pPr>
                <a:r>
                  <a:rPr lang="en-US" sz="1200" b="1" i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Megabytes (x</a:t>
                </a:r>
                <a:r>
                  <a:rPr lang="en-US" sz="1200" b="1" cap="none" spc="0" baseline="-2500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i</a:t>
                </a:r>
                <a:r>
                  <a:rPr lang="en-US" sz="1200" b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7636204403036716"/>
              <c:y val="0.91767958930892624"/>
            </c:manualLayout>
          </c:layout>
          <c:overlay val="0"/>
          <c:spPr>
            <a:noFill/>
            <a:ln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noFill/>
          <a:ln>
            <a:solidFill>
              <a:schemeClr val="tx1"/>
            </a:solidFill>
            <a:tailEnd type="triangle" w="sm" len="sm"/>
          </a:ln>
        </c:spPr>
        <c:txPr>
          <a:bodyPr/>
          <a:lstStyle/>
          <a:p>
            <a:pPr>
              <a:defRPr b="1" cap="none" spc="0">
                <a:ln w="10541" cmpd="sng">
                  <a:solidFill>
                    <a:schemeClr val="accent1">
                      <a:shade val="88000"/>
                      <a:satMod val="11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1">
                        <a:tint val="40000"/>
                        <a:satMod val="250000"/>
                      </a:schemeClr>
                    </a:gs>
                    <a:gs pos="9000">
                      <a:schemeClr val="accent1">
                        <a:tint val="52000"/>
                        <a:satMod val="300000"/>
                      </a:schemeClr>
                    </a:gs>
                    <a:gs pos="50000">
                      <a:schemeClr val="accent1">
                        <a:shade val="20000"/>
                        <a:satMod val="300000"/>
                      </a:schemeClr>
                    </a:gs>
                    <a:gs pos="79000">
                      <a:schemeClr val="accent1">
                        <a:tint val="52000"/>
                        <a:satMod val="300000"/>
                      </a:schemeClr>
                    </a:gs>
                    <a:gs pos="100000">
                      <a:schemeClr val="accent1">
                        <a:tint val="40000"/>
                        <a:satMod val="250000"/>
                      </a:schemeClr>
                    </a:gs>
                  </a:gsLst>
                  <a:lin ang="5400000"/>
                </a:gradFill>
                <a:effectLst/>
              </a:defRPr>
            </a:pPr>
            <a:endParaRPr lang="pt-BR"/>
          </a:p>
        </c:txPr>
        <c:crossAx val="132229760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32229760"/>
        <c:scaling>
          <c:orientation val="minMax"/>
        </c:scaling>
        <c:delete val="0"/>
        <c:axPos val="l"/>
        <c:majorGridlines>
          <c:spPr>
            <a:ln w="3175">
              <a:solidFill>
                <a:srgbClr val="4F81BD">
                  <a:alpha val="25000"/>
                </a:srgbClr>
              </a:solidFill>
              <a:prstDash val="sysDot"/>
            </a:ln>
          </c:spPr>
        </c:majorGridlines>
        <c:title>
          <c:tx>
            <c:rich>
              <a:bodyPr rot="0" vert="horz"/>
              <a:lstStyle/>
              <a:p>
                <a:pPr>
                  <a:defRPr sz="1200" b="1" cap="none" spc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defRPr>
                </a:pPr>
                <a:r>
                  <a:rPr lang="en-US" sz="1200" b="1" i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Frequencia ( </a:t>
                </a:r>
                <a:r>
                  <a:rPr lang="en-US" sz="1200" b="1" i="1" u="none" strike="noStrike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f</a:t>
                </a:r>
                <a:r>
                  <a:rPr lang="en-US" sz="1200" b="1" i="0" u="none" strike="noStrike" cap="none" spc="0" baseline="-2500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i </a:t>
                </a:r>
                <a:r>
                  <a:rPr lang="en-US" sz="1200" b="1" i="1" cap="none" spc="0" baseline="0">
                    <a:ln w="10541" cmpd="sng">
                      <a:solidFill>
                        <a:schemeClr val="accent1">
                          <a:shade val="88000"/>
                          <a:satMod val="110000"/>
                        </a:schemeClr>
                      </a:solidFill>
                      <a:prstDash val="solid"/>
                    </a:ln>
                    <a:gradFill>
                      <a:gsLst>
                        <a:gs pos="0">
                          <a:schemeClr val="accent1">
                            <a:tint val="40000"/>
                            <a:satMod val="250000"/>
                          </a:schemeClr>
                        </a:gs>
                        <a:gs pos="9000">
                          <a:schemeClr val="accent1">
                            <a:tint val="52000"/>
                            <a:satMod val="300000"/>
                          </a:schemeClr>
                        </a:gs>
                        <a:gs pos="50000">
                          <a:schemeClr val="accent1">
                            <a:shade val="20000"/>
                            <a:satMod val="300000"/>
                          </a:schemeClr>
                        </a:gs>
                        <a:gs pos="79000">
                          <a:schemeClr val="accent1">
                            <a:tint val="52000"/>
                            <a:satMod val="300000"/>
                          </a:schemeClr>
                        </a:gs>
                        <a:gs pos="100000">
                          <a:schemeClr val="accent1">
                            <a:tint val="40000"/>
                            <a:satMod val="250000"/>
                          </a:schemeClr>
                        </a:gs>
                      </a:gsLst>
                      <a:lin ang="5400000"/>
                    </a:gradFill>
                    <a:effectLst/>
                  </a:rPr>
                  <a:t>)</a:t>
                </a:r>
                <a:endParaRPr lang="en-US" sz="1200" b="1" cap="none" spc="0" baseline="-25000">
                  <a:ln w="10541" cmpd="sng">
                    <a:solidFill>
                      <a:schemeClr val="accent1">
                        <a:shade val="88000"/>
                        <a:satMod val="110000"/>
                      </a:schemeClr>
                    </a:solidFill>
                    <a:prstDash val="solid"/>
                  </a:ln>
                  <a:gradFill>
                    <a:gsLst>
                      <a:gs pos="0">
                        <a:schemeClr val="accent1">
                          <a:tint val="40000"/>
                          <a:satMod val="250000"/>
                        </a:schemeClr>
                      </a:gs>
                      <a:gs pos="9000">
                        <a:schemeClr val="accent1">
                          <a:tint val="52000"/>
                          <a:satMod val="300000"/>
                        </a:schemeClr>
                      </a:gs>
                      <a:gs pos="50000">
                        <a:schemeClr val="accent1">
                          <a:shade val="20000"/>
                          <a:satMod val="300000"/>
                        </a:schemeClr>
                      </a:gs>
                      <a:gs pos="79000">
                        <a:schemeClr val="accent1">
                          <a:tint val="52000"/>
                          <a:satMod val="300000"/>
                        </a:schemeClr>
                      </a:gs>
                      <a:gs pos="100000">
                        <a:schemeClr val="accent1">
                          <a:tint val="40000"/>
                          <a:satMod val="250000"/>
                        </a:schemeClr>
                      </a:gs>
                    </a:gsLst>
                    <a:lin ang="5400000"/>
                  </a:gradFill>
                  <a:effectLst/>
                </a:endParaRPr>
              </a:p>
            </c:rich>
          </c:tx>
          <c:layout>
            <c:manualLayout>
              <c:xMode val="edge"/>
              <c:yMode val="edge"/>
              <c:x val="1.7846866730848121E-2"/>
              <c:y val="7.7595564830366531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12700" cap="sq">
            <a:solidFill>
              <a:schemeClr val="tx1"/>
            </a:solidFill>
            <a:tailEnd type="triangle" w="sm" len="sm"/>
          </a:ln>
        </c:spPr>
        <c:txPr>
          <a:bodyPr/>
          <a:lstStyle/>
          <a:p>
            <a:pPr>
              <a:defRPr b="1" cap="none" spc="0">
                <a:ln w="10541" cmpd="sng">
                  <a:solidFill>
                    <a:schemeClr val="accent1">
                      <a:shade val="88000"/>
                      <a:satMod val="110000"/>
                    </a:schemeClr>
                  </a:solidFill>
                  <a:prstDash val="solid"/>
                </a:ln>
                <a:gradFill>
                  <a:gsLst>
                    <a:gs pos="0">
                      <a:schemeClr val="accent1">
                        <a:tint val="40000"/>
                        <a:satMod val="250000"/>
                      </a:schemeClr>
                    </a:gs>
                    <a:gs pos="9000">
                      <a:schemeClr val="accent1">
                        <a:tint val="52000"/>
                        <a:satMod val="300000"/>
                      </a:schemeClr>
                    </a:gs>
                    <a:gs pos="50000">
                      <a:schemeClr val="accent1">
                        <a:shade val="20000"/>
                        <a:satMod val="300000"/>
                      </a:schemeClr>
                    </a:gs>
                    <a:gs pos="79000">
                      <a:schemeClr val="accent1">
                        <a:tint val="52000"/>
                        <a:satMod val="300000"/>
                      </a:schemeClr>
                    </a:gs>
                    <a:gs pos="100000">
                      <a:schemeClr val="accent1">
                        <a:tint val="40000"/>
                        <a:satMod val="250000"/>
                      </a:schemeClr>
                    </a:gs>
                  </a:gsLst>
                  <a:lin ang="5400000"/>
                </a:gradFill>
                <a:effectLst/>
              </a:defRPr>
            </a:pPr>
            <a:endParaRPr lang="pt-BR"/>
          </a:p>
        </c:txPr>
        <c:crossAx val="132227840"/>
        <c:crosses val="autoZero"/>
        <c:crossBetween val="midCat"/>
      </c:valAx>
      <c:spPr>
        <a:noFill/>
        <a:ln w="12700">
          <a:noFill/>
        </a:ln>
      </c:spPr>
    </c:plotArea>
    <c:plotVisOnly val="1"/>
    <c:dispBlanksAs val="gap"/>
    <c:showDLblsOverMax val="0"/>
  </c:chart>
  <c:spPr>
    <a:gradFill>
      <a:gsLst>
        <a:gs pos="0">
          <a:srgbClr val="4F81BD">
            <a:tint val="66000"/>
            <a:satMod val="160000"/>
          </a:srgbClr>
        </a:gs>
        <a:gs pos="50000">
          <a:srgbClr val="4F81BD">
            <a:tint val="44500"/>
            <a:satMod val="160000"/>
          </a:srgbClr>
        </a:gs>
        <a:gs pos="100000">
          <a:srgbClr val="4F81BD">
            <a:tint val="23500"/>
            <a:satMod val="160000"/>
          </a:srgbClr>
        </a:gs>
      </a:gsLst>
      <a:lin ang="5400000" scaled="0"/>
    </a:gradFill>
    <a:ln w="9525">
      <a:solidFill>
        <a:srgbClr val="4F81BD"/>
      </a:solidFill>
    </a:ln>
  </c:spPr>
  <c:printSettings>
    <c:headerFooter/>
    <c:pageMargins b="0.78740157499999996" l="0.511811024" r="0.511811024" t="0.78740157499999996" header="0.31496062000000152" footer="0.3149606200000015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32</xdr:row>
      <xdr:rowOff>190498</xdr:rowOff>
    </xdr:from>
    <xdr:to>
      <xdr:col>9</xdr:col>
      <xdr:colOff>273843</xdr:colOff>
      <xdr:row>56</xdr:row>
      <xdr:rowOff>190499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400050</xdr:colOff>
      <xdr:row>14</xdr:row>
      <xdr:rowOff>161925</xdr:rowOff>
    </xdr:from>
    <xdr:to>
      <xdr:col>10</xdr:col>
      <xdr:colOff>90486</xdr:colOff>
      <xdr:row>17</xdr:row>
      <xdr:rowOff>19050</xdr:rowOff>
    </xdr:to>
    <xdr:sp macro="" textlink="">
      <xdr:nvSpPr>
        <xdr:cNvPr id="3" name="CaixaDeTexto 2"/>
        <xdr:cNvSpPr txBox="1"/>
      </xdr:nvSpPr>
      <xdr:spPr>
        <a:xfrm>
          <a:off x="3495675" y="3305175"/>
          <a:ext cx="2881311" cy="571500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Preencha os campos em verde</a:t>
          </a:r>
        </a:p>
      </xdr:txBody>
    </xdr:sp>
    <xdr:clientData/>
  </xdr:twoCellAnchor>
  <xdr:twoCellAnchor>
    <xdr:from>
      <xdr:col>5</xdr:col>
      <xdr:colOff>361950</xdr:colOff>
      <xdr:row>11</xdr:row>
      <xdr:rowOff>152400</xdr:rowOff>
    </xdr:from>
    <xdr:to>
      <xdr:col>10</xdr:col>
      <xdr:colOff>152400</xdr:colOff>
      <xdr:row>14</xdr:row>
      <xdr:rowOff>69057</xdr:rowOff>
    </xdr:to>
    <xdr:sp macro="" textlink="">
      <xdr:nvSpPr>
        <xdr:cNvPr id="4" name="Ondulado 3"/>
        <xdr:cNvSpPr/>
      </xdr:nvSpPr>
      <xdr:spPr>
        <a:xfrm>
          <a:off x="3457575" y="2581275"/>
          <a:ext cx="2981325" cy="631032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aseline="0"/>
            <a:t>DISTRIBUIÇÃO POR FREQUÊNCIA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02">
    <pageSetUpPr fitToPage="1"/>
  </sheetPr>
  <dimension ref="A1:Y100"/>
  <sheetViews>
    <sheetView showGridLines="0" tabSelected="1" workbookViewId="0">
      <selection activeCell="O15" sqref="O15"/>
    </sheetView>
  </sheetViews>
  <sheetFormatPr defaultRowHeight="15" x14ac:dyDescent="0.25"/>
  <cols>
    <col min="1" max="8" width="9.28515625" style="2" customWidth="1"/>
    <col min="9" max="9" width="10.85546875" style="2" bestFit="1" customWidth="1"/>
    <col min="10" max="10" width="9.140625" style="2" customWidth="1"/>
    <col min="11" max="11" width="7.42578125" style="2" customWidth="1"/>
    <col min="12" max="12" width="4.140625" style="2" customWidth="1"/>
    <col min="13" max="13" width="7.7109375" style="2" customWidth="1"/>
    <col min="14" max="14" width="5" style="2" bestFit="1" customWidth="1"/>
    <col min="15" max="15" width="19.42578125" style="2" customWidth="1"/>
    <col min="16" max="16" width="15.140625" style="2" customWidth="1"/>
    <col min="17" max="17" width="13.140625" style="2" customWidth="1"/>
    <col min="18" max="18" width="11" style="2" bestFit="1" customWidth="1"/>
    <col min="19" max="19" width="9.7109375" style="2" customWidth="1"/>
    <col min="20" max="20" width="12.42578125" style="2" customWidth="1"/>
    <col min="21" max="21" width="10.28515625" style="2" customWidth="1"/>
    <col min="22" max="24" width="9.140625" style="2"/>
    <col min="26" max="16384" width="9.140625" style="2"/>
  </cols>
  <sheetData>
    <row r="1" spans="1:17" x14ac:dyDescent="0.25">
      <c r="A1" s="13" t="s">
        <v>36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7" ht="15.75" x14ac:dyDescent="0.25">
      <c r="A2" s="51">
        <v>1</v>
      </c>
      <c r="B2" s="51">
        <v>2</v>
      </c>
      <c r="C2" s="51">
        <v>2.1</v>
      </c>
      <c r="D2" s="51">
        <v>4.5</v>
      </c>
      <c r="E2" s="51">
        <v>3</v>
      </c>
      <c r="F2" s="51">
        <v>5</v>
      </c>
      <c r="G2" s="51">
        <v>4</v>
      </c>
      <c r="H2" s="51">
        <v>3</v>
      </c>
      <c r="J2" s="34" t="s">
        <v>29</v>
      </c>
      <c r="K2" s="33"/>
      <c r="L2" s="33"/>
      <c r="M2" s="33"/>
      <c r="O2" s="22" t="s">
        <v>19</v>
      </c>
      <c r="P2" s="35">
        <f>ROUND(SQRT((xi2fi-((xifi^2)/n))/(n-1)),nCasasDec)</f>
        <v>1.81</v>
      </c>
    </row>
    <row r="3" spans="1:17" ht="15.75" x14ac:dyDescent="0.25">
      <c r="A3" s="51">
        <v>4</v>
      </c>
      <c r="B3" s="51">
        <v>2.1</v>
      </c>
      <c r="C3" s="51">
        <v>5</v>
      </c>
      <c r="D3" s="51">
        <v>3</v>
      </c>
      <c r="E3" s="51">
        <v>5</v>
      </c>
      <c r="F3" s="51">
        <v>5</v>
      </c>
      <c r="G3" s="51">
        <v>7.5</v>
      </c>
      <c r="H3" s="51">
        <v>3</v>
      </c>
      <c r="I3" s="1"/>
      <c r="J3" s="6" t="s">
        <v>3</v>
      </c>
      <c r="K3" s="7"/>
      <c r="L3" s="8"/>
      <c r="M3" s="19"/>
      <c r="O3" s="23"/>
      <c r="P3" s="1"/>
      <c r="Q3" s="1"/>
    </row>
    <row r="4" spans="1:17" ht="15.75" x14ac:dyDescent="0.25">
      <c r="A4" s="51">
        <v>5</v>
      </c>
      <c r="B4" s="51">
        <v>5.7</v>
      </c>
      <c r="C4" s="51">
        <v>7.5</v>
      </c>
      <c r="D4" s="51">
        <v>8</v>
      </c>
      <c r="E4" s="51">
        <v>3</v>
      </c>
      <c r="F4" s="51">
        <v>3</v>
      </c>
      <c r="G4" s="51">
        <v>5</v>
      </c>
      <c r="H4" s="51">
        <v>3.8</v>
      </c>
      <c r="I4" s="1"/>
      <c r="J4" s="55" t="s">
        <v>16</v>
      </c>
      <c r="K4" s="56"/>
      <c r="L4" s="55" t="s">
        <v>0</v>
      </c>
      <c r="M4" s="56"/>
      <c r="O4" s="22" t="s">
        <v>22</v>
      </c>
      <c r="P4" s="50" t="str">
        <f>ROUND((s/Media)*100,nCasasDec)&amp;"%"</f>
        <v>39,35%</v>
      </c>
    </row>
    <row r="5" spans="1:17" ht="18" x14ac:dyDescent="0.25">
      <c r="A5" s="51">
        <v>5</v>
      </c>
      <c r="B5" s="51">
        <v>6</v>
      </c>
      <c r="C5" s="51">
        <v>6</v>
      </c>
      <c r="D5" s="51">
        <v>6</v>
      </c>
      <c r="E5" s="51">
        <v>6</v>
      </c>
      <c r="F5" s="51">
        <v>6</v>
      </c>
      <c r="G5" s="51">
        <v>7.5</v>
      </c>
      <c r="H5" s="51"/>
      <c r="J5" s="4" t="s">
        <v>11</v>
      </c>
      <c r="K5" s="9">
        <f>n/4</f>
        <v>7.75</v>
      </c>
      <c r="L5" s="4" t="s">
        <v>8</v>
      </c>
      <c r="M5" s="48">
        <f>ROUND(QUARTILE(DadosOrig,1),nCasasDec)</f>
        <v>3</v>
      </c>
      <c r="O5" s="23"/>
      <c r="P5" s="1"/>
      <c r="Q5" s="1"/>
    </row>
    <row r="6" spans="1:17" ht="18" x14ac:dyDescent="0.25">
      <c r="A6" s="1"/>
      <c r="B6" s="1"/>
      <c r="C6" s="1"/>
      <c r="D6" s="1"/>
      <c r="E6" s="1"/>
      <c r="F6" s="1"/>
      <c r="G6" s="1"/>
      <c r="H6" s="1"/>
      <c r="J6" s="4" t="s">
        <v>12</v>
      </c>
      <c r="K6" s="9">
        <f>2*K5</f>
        <v>15.5</v>
      </c>
      <c r="L6" s="4" t="s">
        <v>9</v>
      </c>
      <c r="M6" s="48">
        <f>ROUND(QUARTILE(DadosOrig,2),nCasasDec)</f>
        <v>5</v>
      </c>
      <c r="O6" s="22" t="s">
        <v>21</v>
      </c>
      <c r="P6" s="49">
        <f>ROUND(3*(Media-Md)/s,nCasasDec)</f>
        <v>-0.66</v>
      </c>
      <c r="Q6" s="16" t="str">
        <f>IF(CoefAssim&lt;0,"Negativa",IF(CoefAssim&gt;0,"Positiva",IF(CoefAssim=0,"Simétrica")))</f>
        <v>Negativa</v>
      </c>
    </row>
    <row r="7" spans="1:17" ht="18" x14ac:dyDescent="0.25">
      <c r="A7" s="4" t="s">
        <v>1</v>
      </c>
      <c r="B7" s="35">
        <f>ROUND(xifi/n,nCasasDec)</f>
        <v>4.5999999999999996</v>
      </c>
      <c r="D7" s="3" t="s">
        <v>2</v>
      </c>
      <c r="E7" s="21">
        <v>2</v>
      </c>
      <c r="F7" s="31"/>
      <c r="G7" s="4" t="s">
        <v>26</v>
      </c>
      <c r="H7" s="46">
        <f>MIN(DadosOrig)</f>
        <v>1</v>
      </c>
      <c r="J7" s="4" t="s">
        <v>13</v>
      </c>
      <c r="K7" s="9">
        <f>3*K5</f>
        <v>23.25</v>
      </c>
      <c r="L7" s="4" t="s">
        <v>10</v>
      </c>
      <c r="M7" s="48">
        <f>ROUND(QUARTILE(DadosOrig,3),nCasasDec)</f>
        <v>6</v>
      </c>
      <c r="O7" s="23"/>
      <c r="P7" s="1"/>
      <c r="Q7" s="1"/>
    </row>
    <row r="8" spans="1:17" ht="18.75" customHeight="1" x14ac:dyDescent="0.25">
      <c r="A8" s="20" t="s">
        <v>20</v>
      </c>
      <c r="B8" s="46">
        <f>IFERROR(MODE(DadosOrig),"Amodal")</f>
        <v>5</v>
      </c>
      <c r="F8" s="32"/>
      <c r="G8" s="4" t="s">
        <v>27</v>
      </c>
      <c r="H8" s="46">
        <f>MAX(DadosOrig)</f>
        <v>8</v>
      </c>
      <c r="J8" s="11" t="s">
        <v>4</v>
      </c>
      <c r="K8" s="7"/>
      <c r="L8" s="8"/>
      <c r="M8" s="10"/>
      <c r="O8" s="22" t="s">
        <v>23</v>
      </c>
      <c r="P8" s="49">
        <f>ROUND((TercQuartil-PrimQuartil)/(2*(NonaPercentil-DecPercentil)),nCasasDec)</f>
        <v>0.28000000000000003</v>
      </c>
      <c r="Q8" s="16" t="str">
        <f>IF(CC&lt;0.263,"Leptocúrtica",IF(CC&gt;0.263,"Platicúrtica","Mesocúrtica"))</f>
        <v>Platicúrtica</v>
      </c>
    </row>
    <row r="9" spans="1:17" ht="18.75" customHeight="1" x14ac:dyDescent="0.25">
      <c r="F9" s="32"/>
      <c r="J9" s="55" t="s">
        <v>16</v>
      </c>
      <c r="K9" s="56"/>
      <c r="L9" s="55" t="s">
        <v>0</v>
      </c>
      <c r="M9" s="56"/>
    </row>
    <row r="10" spans="1:17" ht="18.75" customHeight="1" x14ac:dyDescent="0.25">
      <c r="A10" s="14" t="s">
        <v>25</v>
      </c>
      <c r="F10" s="32"/>
      <c r="J10" s="4" t="s">
        <v>14</v>
      </c>
      <c r="K10" s="9">
        <f>(10*n)/100</f>
        <v>3.1</v>
      </c>
      <c r="L10" s="12" t="s">
        <v>17</v>
      </c>
      <c r="M10" s="48">
        <f>ROUND(PERCENTILE(DadosOrig,10%),nCasasDec)</f>
        <v>2.1</v>
      </c>
    </row>
    <row r="11" spans="1:17" ht="18.75" customHeight="1" x14ac:dyDescent="0.25">
      <c r="A11" s="5" t="s">
        <v>24</v>
      </c>
      <c r="B11" s="5" t="s">
        <v>5</v>
      </c>
      <c r="C11" s="4" t="s">
        <v>6</v>
      </c>
      <c r="D11" s="4" t="s">
        <v>7</v>
      </c>
      <c r="E11" s="5" t="s">
        <v>28</v>
      </c>
      <c r="F11" s="32"/>
      <c r="J11" s="4" t="s">
        <v>15</v>
      </c>
      <c r="K11" s="9">
        <f>(90*n)/100</f>
        <v>27.9</v>
      </c>
      <c r="L11" s="4" t="s">
        <v>18</v>
      </c>
      <c r="M11" s="48">
        <f>ROUND(PERCENTILE(DadosOrig,90%),nCasasDec)</f>
        <v>7.5</v>
      </c>
    </row>
    <row r="12" spans="1:17" ht="18.75" customHeight="1" x14ac:dyDescent="0.25">
      <c r="A12" s="46">
        <v>1</v>
      </c>
      <c r="B12" s="15">
        <f t="shared" ref="B12:B31" si="0">IF(A12="","",COUNTIF(DadosOrig,A12))</f>
        <v>1</v>
      </c>
      <c r="C12" s="35">
        <f t="shared" ref="C12:C21" si="1">IF(A12="","",A12*B12)</f>
        <v>1</v>
      </c>
      <c r="D12" s="35">
        <f t="shared" ref="D12:D22" si="2">IF(A12="","",A12*C12)</f>
        <v>1</v>
      </c>
      <c r="E12" s="15">
        <f>IF(A12="","",B12)</f>
        <v>1</v>
      </c>
      <c r="F12" s="32"/>
    </row>
    <row r="13" spans="1:17" ht="18.75" customHeight="1" x14ac:dyDescent="0.25">
      <c r="A13" s="46">
        <v>2</v>
      </c>
      <c r="B13" s="15">
        <f t="shared" si="0"/>
        <v>1</v>
      </c>
      <c r="C13" s="35">
        <f t="shared" si="1"/>
        <v>2</v>
      </c>
      <c r="D13" s="35">
        <f t="shared" si="2"/>
        <v>4</v>
      </c>
      <c r="E13" s="15">
        <f t="shared" ref="E13:E22" si="3">IF(A13="","",E12+B13)</f>
        <v>2</v>
      </c>
      <c r="F13" s="32"/>
    </row>
    <row r="14" spans="1:17" ht="18.75" customHeight="1" x14ac:dyDescent="0.25">
      <c r="A14" s="46">
        <v>2.1</v>
      </c>
      <c r="B14" s="15">
        <f t="shared" si="0"/>
        <v>2</v>
      </c>
      <c r="C14" s="35">
        <f t="shared" si="1"/>
        <v>4.2</v>
      </c>
      <c r="D14" s="35">
        <f t="shared" si="2"/>
        <v>8.82</v>
      </c>
      <c r="E14" s="15">
        <f t="shared" si="3"/>
        <v>4</v>
      </c>
      <c r="F14" s="32"/>
      <c r="J14"/>
      <c r="K14"/>
    </row>
    <row r="15" spans="1:17" ht="18.75" customHeight="1" x14ac:dyDescent="0.25">
      <c r="A15" s="46">
        <v>3</v>
      </c>
      <c r="B15" s="15">
        <f t="shared" si="0"/>
        <v>6</v>
      </c>
      <c r="C15" s="35">
        <f t="shared" si="1"/>
        <v>18</v>
      </c>
      <c r="D15" s="35">
        <f t="shared" si="2"/>
        <v>54</v>
      </c>
      <c r="E15" s="15">
        <f t="shared" si="3"/>
        <v>10</v>
      </c>
      <c r="F15" s="32"/>
      <c r="J15"/>
      <c r="K15"/>
    </row>
    <row r="16" spans="1:17" ht="18.75" customHeight="1" x14ac:dyDescent="0.25">
      <c r="A16" s="46">
        <v>3.8</v>
      </c>
      <c r="B16" s="15">
        <f t="shared" si="0"/>
        <v>1</v>
      </c>
      <c r="C16" s="35">
        <f t="shared" si="1"/>
        <v>3.8</v>
      </c>
      <c r="D16" s="35">
        <f t="shared" si="2"/>
        <v>14.44</v>
      </c>
      <c r="E16" s="15">
        <f t="shared" si="3"/>
        <v>11</v>
      </c>
      <c r="F16" s="32"/>
      <c r="J16"/>
      <c r="K16"/>
    </row>
    <row r="17" spans="1:13" ht="18.75" customHeight="1" x14ac:dyDescent="0.25">
      <c r="A17" s="46">
        <v>4</v>
      </c>
      <c r="B17" s="15">
        <f t="shared" si="0"/>
        <v>2</v>
      </c>
      <c r="C17" s="35">
        <f t="shared" si="1"/>
        <v>8</v>
      </c>
      <c r="D17" s="35">
        <f t="shared" si="2"/>
        <v>32</v>
      </c>
      <c r="E17" s="15">
        <f t="shared" si="3"/>
        <v>13</v>
      </c>
      <c r="F17" s="32"/>
      <c r="J17"/>
      <c r="K17"/>
      <c r="M17" s="1"/>
    </row>
    <row r="18" spans="1:13" ht="18.75" customHeight="1" x14ac:dyDescent="0.25">
      <c r="A18" s="46">
        <v>4.5</v>
      </c>
      <c r="B18" s="15">
        <f t="shared" si="0"/>
        <v>1</v>
      </c>
      <c r="C18" s="35">
        <f t="shared" si="1"/>
        <v>4.5</v>
      </c>
      <c r="D18" s="35">
        <f t="shared" si="2"/>
        <v>20.25</v>
      </c>
      <c r="E18" s="15">
        <f t="shared" si="3"/>
        <v>14</v>
      </c>
      <c r="F18" s="31"/>
      <c r="J18" s="1"/>
      <c r="K18" s="1"/>
      <c r="L18" s="1"/>
      <c r="M18" s="1"/>
    </row>
    <row r="19" spans="1:13" ht="18.75" customHeight="1" x14ac:dyDescent="0.25">
      <c r="A19" s="46">
        <v>5</v>
      </c>
      <c r="B19" s="15">
        <f t="shared" si="0"/>
        <v>7</v>
      </c>
      <c r="C19" s="35">
        <f t="shared" si="1"/>
        <v>35</v>
      </c>
      <c r="D19" s="35">
        <f t="shared" si="2"/>
        <v>175</v>
      </c>
      <c r="E19" s="15">
        <f t="shared" si="3"/>
        <v>21</v>
      </c>
      <c r="F19" s="31"/>
      <c r="J19" s="1"/>
      <c r="K19" s="1"/>
      <c r="L19" s="1"/>
      <c r="M19" s="1"/>
    </row>
    <row r="20" spans="1:13" ht="18.75" customHeight="1" x14ac:dyDescent="0.25">
      <c r="A20" s="46">
        <v>5.7</v>
      </c>
      <c r="B20" s="15">
        <f t="shared" si="0"/>
        <v>1</v>
      </c>
      <c r="C20" s="35">
        <f t="shared" si="1"/>
        <v>5.7</v>
      </c>
      <c r="D20" s="35">
        <f t="shared" si="2"/>
        <v>32.49</v>
      </c>
      <c r="E20" s="15">
        <f t="shared" si="3"/>
        <v>22</v>
      </c>
      <c r="F20" s="31"/>
      <c r="J20" s="1"/>
      <c r="K20" s="1"/>
      <c r="L20" s="1"/>
      <c r="M20" s="1"/>
    </row>
    <row r="21" spans="1:13" ht="18.75" customHeight="1" x14ac:dyDescent="0.25">
      <c r="A21" s="46">
        <v>6</v>
      </c>
      <c r="B21" s="15">
        <f t="shared" si="0"/>
        <v>5</v>
      </c>
      <c r="C21" s="35">
        <f t="shared" si="1"/>
        <v>30</v>
      </c>
      <c r="D21" s="35">
        <f t="shared" si="2"/>
        <v>180</v>
      </c>
      <c r="E21" s="15">
        <f t="shared" si="3"/>
        <v>27</v>
      </c>
      <c r="F21" s="31"/>
      <c r="J21" s="1"/>
      <c r="K21" s="1"/>
      <c r="L21" s="1"/>
      <c r="M21" s="1"/>
    </row>
    <row r="22" spans="1:13" ht="18.75" customHeight="1" x14ac:dyDescent="0.25">
      <c r="A22" s="46">
        <v>7.5</v>
      </c>
      <c r="B22" s="15">
        <f t="shared" si="0"/>
        <v>3</v>
      </c>
      <c r="C22" s="35">
        <f>IF(A22="","",A22*B22)</f>
        <v>22.5</v>
      </c>
      <c r="D22" s="35">
        <f t="shared" si="2"/>
        <v>168.75</v>
      </c>
      <c r="E22" s="15">
        <f t="shared" si="3"/>
        <v>30</v>
      </c>
      <c r="F22" s="31"/>
      <c r="J22" s="1"/>
      <c r="K22" s="1"/>
      <c r="L22" s="1"/>
      <c r="M22" s="1"/>
    </row>
    <row r="23" spans="1:13" ht="18.75" customHeight="1" x14ac:dyDescent="0.25">
      <c r="A23" s="46">
        <v>8</v>
      </c>
      <c r="B23" s="15">
        <f t="shared" si="0"/>
        <v>1</v>
      </c>
      <c r="C23" s="35">
        <f>IF(A23="","",A23*B23)</f>
        <v>8</v>
      </c>
      <c r="D23" s="35">
        <f>IF(A23="","",A23*C23)</f>
        <v>64</v>
      </c>
      <c r="E23" s="15">
        <f>IF(A23="","",E22+B23)</f>
        <v>31</v>
      </c>
      <c r="F23" s="31"/>
      <c r="J23" s="1"/>
      <c r="K23" s="1"/>
      <c r="L23" s="1"/>
      <c r="M23" s="1"/>
    </row>
    <row r="24" spans="1:13" ht="18.75" hidden="1" customHeight="1" x14ac:dyDescent="0.25">
      <c r="A24" s="46"/>
      <c r="B24" s="15" t="str">
        <f t="shared" si="0"/>
        <v/>
      </c>
      <c r="C24" s="35" t="str">
        <f t="shared" ref="C24:C31" si="4">IF(A24="","",A24*B24)</f>
        <v/>
      </c>
      <c r="D24" s="35" t="str">
        <f t="shared" ref="D24:D31" si="5">IF(A24="","",A24*C24)</f>
        <v/>
      </c>
      <c r="E24" s="15" t="str">
        <f t="shared" ref="E24:E31" si="6">IF(A24="","",E23+B24)</f>
        <v/>
      </c>
      <c r="F24" s="31"/>
      <c r="J24" s="1"/>
      <c r="K24" s="1"/>
    </row>
    <row r="25" spans="1:13" ht="18.75" hidden="1" customHeight="1" x14ac:dyDescent="0.25">
      <c r="A25" s="46"/>
      <c r="B25" s="15" t="str">
        <f t="shared" si="0"/>
        <v/>
      </c>
      <c r="C25" s="35" t="str">
        <f t="shared" si="4"/>
        <v/>
      </c>
      <c r="D25" s="35" t="str">
        <f t="shared" si="5"/>
        <v/>
      </c>
      <c r="E25" s="15" t="str">
        <f t="shared" si="6"/>
        <v/>
      </c>
      <c r="F25" s="31"/>
      <c r="J25" s="1"/>
      <c r="K25" s="1"/>
    </row>
    <row r="26" spans="1:13" ht="18.75" hidden="1" customHeight="1" x14ac:dyDescent="0.25">
      <c r="A26" s="46"/>
      <c r="B26" s="15" t="str">
        <f t="shared" si="0"/>
        <v/>
      </c>
      <c r="C26" s="35" t="str">
        <f t="shared" si="4"/>
        <v/>
      </c>
      <c r="D26" s="35" t="str">
        <f t="shared" si="5"/>
        <v/>
      </c>
      <c r="E26" s="15" t="str">
        <f t="shared" si="6"/>
        <v/>
      </c>
      <c r="F26" s="31"/>
      <c r="J26" s="1"/>
      <c r="K26" s="1"/>
    </row>
    <row r="27" spans="1:13" ht="18.75" hidden="1" customHeight="1" x14ac:dyDescent="0.25">
      <c r="A27" s="46"/>
      <c r="B27" s="15" t="str">
        <f t="shared" si="0"/>
        <v/>
      </c>
      <c r="C27" s="35" t="str">
        <f t="shared" si="4"/>
        <v/>
      </c>
      <c r="D27" s="35" t="str">
        <f t="shared" si="5"/>
        <v/>
      </c>
      <c r="E27" s="15" t="str">
        <f t="shared" si="6"/>
        <v/>
      </c>
      <c r="F27" s="31"/>
      <c r="J27" s="1"/>
      <c r="K27" s="1"/>
    </row>
    <row r="28" spans="1:13" ht="18.75" hidden="1" customHeight="1" x14ac:dyDescent="0.25">
      <c r="A28" s="46"/>
      <c r="B28" s="15" t="str">
        <f t="shared" si="0"/>
        <v/>
      </c>
      <c r="C28" s="35" t="str">
        <f t="shared" si="4"/>
        <v/>
      </c>
      <c r="D28" s="35" t="str">
        <f t="shared" si="5"/>
        <v/>
      </c>
      <c r="E28" s="15" t="str">
        <f t="shared" si="6"/>
        <v/>
      </c>
      <c r="F28" s="31"/>
      <c r="J28" s="1"/>
      <c r="K28" s="1"/>
    </row>
    <row r="29" spans="1:13" hidden="1" x14ac:dyDescent="0.25">
      <c r="A29" s="46"/>
      <c r="B29" s="15" t="str">
        <f t="shared" si="0"/>
        <v/>
      </c>
      <c r="C29" s="35" t="str">
        <f t="shared" si="4"/>
        <v/>
      </c>
      <c r="D29" s="35" t="str">
        <f t="shared" si="5"/>
        <v/>
      </c>
      <c r="E29" s="15" t="str">
        <f t="shared" si="6"/>
        <v/>
      </c>
      <c r="F29" s="31"/>
      <c r="J29" s="1"/>
      <c r="K29" s="1"/>
    </row>
    <row r="30" spans="1:13" hidden="1" x14ac:dyDescent="0.25">
      <c r="A30" s="46"/>
      <c r="B30" s="15" t="str">
        <f t="shared" si="0"/>
        <v/>
      </c>
      <c r="C30" s="35" t="str">
        <f t="shared" si="4"/>
        <v/>
      </c>
      <c r="D30" s="35" t="str">
        <f t="shared" si="5"/>
        <v/>
      </c>
      <c r="E30" s="15" t="str">
        <f t="shared" si="6"/>
        <v/>
      </c>
      <c r="F30" s="31"/>
      <c r="J30" s="1"/>
      <c r="K30" s="1"/>
    </row>
    <row r="31" spans="1:13" hidden="1" x14ac:dyDescent="0.25">
      <c r="A31" s="46"/>
      <c r="B31" s="15" t="str">
        <f t="shared" si="0"/>
        <v/>
      </c>
      <c r="C31" s="35" t="str">
        <f t="shared" si="4"/>
        <v/>
      </c>
      <c r="D31" s="35" t="str">
        <f t="shared" si="5"/>
        <v/>
      </c>
      <c r="E31" s="15" t="str">
        <f t="shared" si="6"/>
        <v/>
      </c>
      <c r="F31" s="31"/>
      <c r="J31" s="1"/>
      <c r="K31" s="1"/>
      <c r="L31" s="1"/>
      <c r="M31" s="1"/>
    </row>
    <row r="32" spans="1:13" x14ac:dyDescent="0.25">
      <c r="B32" s="17">
        <f>SUM(B12:B31)</f>
        <v>31</v>
      </c>
      <c r="C32" s="47">
        <f>ROUND(SUM(C12:C31),nCasasDec)</f>
        <v>142.69999999999999</v>
      </c>
      <c r="D32" s="47">
        <f>ROUND(SUM(D12:D31),nCasasDec)</f>
        <v>754.75</v>
      </c>
      <c r="E32" s="18"/>
      <c r="F32" s="31"/>
      <c r="G32" s="1"/>
      <c r="H32" s="1"/>
      <c r="I32" s="1"/>
      <c r="J32" s="1"/>
      <c r="K32" s="1"/>
      <c r="L32" s="1"/>
      <c r="M32" s="1"/>
    </row>
    <row r="33" spans="1:16" x14ac:dyDescent="0.25">
      <c r="A33" s="1"/>
      <c r="B33" s="1"/>
      <c r="C33" s="1"/>
      <c r="D33" s="1"/>
      <c r="E33" s="1"/>
      <c r="F33" s="1"/>
      <c r="J33" s="1"/>
      <c r="K33" s="1"/>
      <c r="L33" s="1"/>
      <c r="M33" s="1"/>
    </row>
    <row r="34" spans="1:16" x14ac:dyDescent="0.25">
      <c r="A34" s="1"/>
      <c r="B34" s="1"/>
      <c r="C34" s="1"/>
      <c r="D34" s="1"/>
      <c r="E34" s="1"/>
      <c r="F34" s="1"/>
      <c r="J34" s="1"/>
      <c r="K34" s="24" t="s">
        <v>34</v>
      </c>
      <c r="L34" s="25"/>
      <c r="M34" s="25"/>
      <c r="N34" s="26"/>
      <c r="O34" s="27"/>
    </row>
    <row r="35" spans="1:16" x14ac:dyDescent="0.25">
      <c r="A35" s="1"/>
      <c r="B35" s="1"/>
      <c r="C35" s="1"/>
      <c r="D35" s="1"/>
      <c r="E35" s="1"/>
      <c r="F35" s="1"/>
      <c r="J35" s="1"/>
      <c r="K35" s="44">
        <f>xifi</f>
        <v>142.69999999999999</v>
      </c>
      <c r="L35" s="45" t="s">
        <v>31</v>
      </c>
      <c r="M35" s="29"/>
      <c r="N35" s="29"/>
      <c r="O35" s="30"/>
    </row>
    <row r="36" spans="1:16" x14ac:dyDescent="0.25">
      <c r="A36" s="1"/>
      <c r="B36" s="1"/>
      <c r="C36" s="1"/>
      <c r="D36" s="1"/>
      <c r="E36" s="1"/>
      <c r="F36" s="1"/>
      <c r="J36" s="1"/>
    </row>
    <row r="37" spans="1:16" x14ac:dyDescent="0.25">
      <c r="A37" s="1"/>
      <c r="B37" s="1"/>
      <c r="C37" s="1"/>
      <c r="D37" s="1"/>
      <c r="E37" s="1"/>
      <c r="F37" s="1"/>
      <c r="J37" s="1"/>
      <c r="K37" s="24" t="s">
        <v>30</v>
      </c>
      <c r="L37" s="25"/>
      <c r="M37" s="25"/>
      <c r="N37" s="26"/>
      <c r="O37" s="27"/>
    </row>
    <row r="38" spans="1:16" x14ac:dyDescent="0.25">
      <c r="A38" s="1"/>
      <c r="B38" s="1"/>
      <c r="C38" s="1"/>
      <c r="D38" s="1"/>
      <c r="E38" s="1"/>
      <c r="F38" s="1"/>
      <c r="J38" s="1"/>
      <c r="K38" s="42">
        <f>Media</f>
        <v>4.5999999999999996</v>
      </c>
      <c r="L38" s="43" t="s">
        <v>31</v>
      </c>
      <c r="M38" s="28"/>
      <c r="N38" s="29"/>
      <c r="O38" s="30"/>
    </row>
    <row r="39" spans="1:16" x14ac:dyDescent="0.25">
      <c r="A39" s="1"/>
      <c r="B39" s="1"/>
      <c r="C39" s="1"/>
      <c r="D39" s="1"/>
      <c r="E39" s="1"/>
      <c r="F39" s="1"/>
      <c r="J39" s="1"/>
      <c r="K39" s="1"/>
      <c r="L39" s="1"/>
      <c r="M39" s="1"/>
    </row>
    <row r="40" spans="1:1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36" t="s">
        <v>32</v>
      </c>
      <c r="L40" s="54" t="s">
        <v>35</v>
      </c>
      <c r="M40" s="54"/>
      <c r="N40" s="54"/>
      <c r="O40" s="54"/>
      <c r="P40" s="39" t="str">
        <f>Min&amp;"    e    "&amp;PrimQuartil&amp;" Mb."</f>
        <v>1    e    3 Mb.</v>
      </c>
    </row>
    <row r="41" spans="1:16" x14ac:dyDescent="0.25">
      <c r="K41" s="37" t="s">
        <v>33</v>
      </c>
      <c r="L41" s="52" t="s">
        <v>35</v>
      </c>
      <c r="M41" s="52"/>
      <c r="N41" s="52"/>
      <c r="O41" s="52"/>
      <c r="P41" s="40" t="str">
        <f>PrimQuartil&amp;"    e    "&amp;TercQuartil&amp;" Mb."</f>
        <v>3    e    6 Mb.</v>
      </c>
    </row>
    <row r="42" spans="1:16" x14ac:dyDescent="0.25">
      <c r="K42" s="38" t="s">
        <v>32</v>
      </c>
      <c r="L42" s="53" t="s">
        <v>35</v>
      </c>
      <c r="M42" s="53"/>
      <c r="N42" s="53"/>
      <c r="O42" s="53"/>
      <c r="P42" s="41" t="str">
        <f>TercQuartil&amp;"    e    "&amp;Max&amp;" Mb."</f>
        <v>6    e    8 Mb.</v>
      </c>
    </row>
    <row r="50" spans="19:21" x14ac:dyDescent="0.25">
      <c r="S50"/>
    </row>
    <row r="51" spans="19:21" x14ac:dyDescent="0.25">
      <c r="S51"/>
      <c r="U51"/>
    </row>
    <row r="52" spans="19:21" x14ac:dyDescent="0.25">
      <c r="S52"/>
    </row>
    <row r="53" spans="19:21" x14ac:dyDescent="0.25">
      <c r="S53"/>
      <c r="U53"/>
    </row>
    <row r="54" spans="19:21" x14ac:dyDescent="0.25">
      <c r="S54"/>
      <c r="U54"/>
    </row>
    <row r="55" spans="19:21" x14ac:dyDescent="0.25">
      <c r="S55"/>
      <c r="U55"/>
    </row>
    <row r="56" spans="19:21" x14ac:dyDescent="0.25">
      <c r="S56"/>
      <c r="U56"/>
    </row>
    <row r="57" spans="19:21" x14ac:dyDescent="0.25">
      <c r="S57"/>
    </row>
    <row r="58" spans="19:21" x14ac:dyDescent="0.25">
      <c r="S58"/>
      <c r="U58"/>
    </row>
    <row r="59" spans="19:21" x14ac:dyDescent="0.25">
      <c r="S59"/>
      <c r="U59"/>
    </row>
    <row r="60" spans="19:21" x14ac:dyDescent="0.25">
      <c r="S60"/>
      <c r="U60"/>
    </row>
    <row r="61" spans="19:21" x14ac:dyDescent="0.25">
      <c r="S61"/>
      <c r="U61"/>
    </row>
    <row r="62" spans="19:21" x14ac:dyDescent="0.25">
      <c r="S62"/>
      <c r="U62"/>
    </row>
    <row r="63" spans="19:21" x14ac:dyDescent="0.25">
      <c r="S63"/>
      <c r="U63"/>
    </row>
    <row r="64" spans="19:21" x14ac:dyDescent="0.25">
      <c r="S64"/>
      <c r="U64"/>
    </row>
    <row r="65" spans="19:21" x14ac:dyDescent="0.25">
      <c r="S65"/>
      <c r="U65"/>
    </row>
    <row r="66" spans="19:21" x14ac:dyDescent="0.25">
      <c r="S66"/>
      <c r="U66"/>
    </row>
    <row r="67" spans="19:21" x14ac:dyDescent="0.25">
      <c r="S67"/>
      <c r="U67"/>
    </row>
    <row r="68" spans="19:21" x14ac:dyDescent="0.25">
      <c r="S68"/>
      <c r="U68"/>
    </row>
    <row r="69" spans="19:21" x14ac:dyDescent="0.25">
      <c r="S69"/>
      <c r="U69"/>
    </row>
    <row r="70" spans="19:21" x14ac:dyDescent="0.25">
      <c r="S70"/>
      <c r="U70"/>
    </row>
    <row r="71" spans="19:21" x14ac:dyDescent="0.25">
      <c r="S71"/>
      <c r="U71"/>
    </row>
    <row r="72" spans="19:21" x14ac:dyDescent="0.25">
      <c r="S72"/>
      <c r="U72"/>
    </row>
    <row r="73" spans="19:21" x14ac:dyDescent="0.25">
      <c r="S73"/>
      <c r="U73"/>
    </row>
    <row r="74" spans="19:21" x14ac:dyDescent="0.25">
      <c r="S74"/>
      <c r="U74"/>
    </row>
    <row r="75" spans="19:21" x14ac:dyDescent="0.25">
      <c r="S75"/>
      <c r="U75"/>
    </row>
    <row r="76" spans="19:21" x14ac:dyDescent="0.25">
      <c r="S76"/>
      <c r="U76"/>
    </row>
    <row r="77" spans="19:21" x14ac:dyDescent="0.25">
      <c r="S77"/>
      <c r="U77"/>
    </row>
    <row r="78" spans="19:21" x14ac:dyDescent="0.25">
      <c r="S78"/>
      <c r="U78"/>
    </row>
    <row r="79" spans="19:21" x14ac:dyDescent="0.25">
      <c r="S79"/>
      <c r="U79"/>
    </row>
    <row r="80" spans="19:21" x14ac:dyDescent="0.25">
      <c r="S80"/>
      <c r="U80"/>
    </row>
    <row r="81" spans="19:21" x14ac:dyDescent="0.25">
      <c r="S81"/>
      <c r="U81"/>
    </row>
    <row r="82" spans="19:21" x14ac:dyDescent="0.25">
      <c r="S82"/>
      <c r="U82"/>
    </row>
    <row r="83" spans="19:21" x14ac:dyDescent="0.25">
      <c r="S83"/>
      <c r="U83"/>
    </row>
    <row r="84" spans="19:21" x14ac:dyDescent="0.25">
      <c r="S84"/>
      <c r="U84"/>
    </row>
    <row r="85" spans="19:21" x14ac:dyDescent="0.25">
      <c r="S85"/>
      <c r="U85"/>
    </row>
    <row r="86" spans="19:21" x14ac:dyDescent="0.25">
      <c r="S86"/>
      <c r="U86"/>
    </row>
    <row r="87" spans="19:21" x14ac:dyDescent="0.25">
      <c r="S87"/>
      <c r="U87"/>
    </row>
    <row r="88" spans="19:21" x14ac:dyDescent="0.25">
      <c r="S88"/>
      <c r="U88"/>
    </row>
    <row r="89" spans="19:21" x14ac:dyDescent="0.25">
      <c r="S89"/>
      <c r="U89"/>
    </row>
    <row r="90" spans="19:21" x14ac:dyDescent="0.25">
      <c r="S90"/>
      <c r="U90"/>
    </row>
    <row r="91" spans="19:21" x14ac:dyDescent="0.25">
      <c r="S91"/>
      <c r="U91"/>
    </row>
    <row r="92" spans="19:21" x14ac:dyDescent="0.25">
      <c r="S92"/>
      <c r="U92"/>
    </row>
    <row r="93" spans="19:21" x14ac:dyDescent="0.25">
      <c r="S93"/>
      <c r="U93"/>
    </row>
    <row r="94" spans="19:21" x14ac:dyDescent="0.25">
      <c r="S94"/>
      <c r="U94"/>
    </row>
    <row r="95" spans="19:21" x14ac:dyDescent="0.25">
      <c r="S95"/>
      <c r="U95"/>
    </row>
    <row r="96" spans="19:21" x14ac:dyDescent="0.25">
      <c r="S96"/>
      <c r="U96"/>
    </row>
    <row r="97" spans="19:21" x14ac:dyDescent="0.25">
      <c r="S97"/>
      <c r="U97"/>
    </row>
    <row r="98" spans="19:21" x14ac:dyDescent="0.25">
      <c r="S98"/>
      <c r="U98"/>
    </row>
    <row r="99" spans="19:21" x14ac:dyDescent="0.25">
      <c r="S99"/>
      <c r="U99"/>
    </row>
    <row r="100" spans="19:21" x14ac:dyDescent="0.25">
      <c r="S100"/>
      <c r="U100"/>
    </row>
  </sheetData>
  <sheetProtection sheet="1" objects="1" scenarios="1"/>
  <sortState ref="U50:U69">
    <sortCondition ref="U50:U69"/>
  </sortState>
  <mergeCells count="7">
    <mergeCell ref="L41:O41"/>
    <mergeCell ref="L42:O42"/>
    <mergeCell ref="L40:O40"/>
    <mergeCell ref="J4:K4"/>
    <mergeCell ref="L4:M4"/>
    <mergeCell ref="J9:K9"/>
    <mergeCell ref="L9:M9"/>
  </mergeCells>
  <pageMargins left="0.31496062992125984" right="0.11811023622047245" top="0.39370078740157483" bottom="0.39370078740157483" header="0.31496062992125984" footer="0.31496062992125984"/>
  <pageSetup scale="73" orientation="landscape" horizontalDpi="300" r:id="rId1"/>
  <headerFooter alignWithMargins="0">
    <oddFooter>&amp;RExercício 02
Adriano Bortoloto
&amp;D  &amp;T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24</vt:i4>
      </vt:variant>
    </vt:vector>
  </HeadingPairs>
  <TitlesOfParts>
    <vt:vector size="25" baseType="lpstr">
      <vt:lpstr>Ex02</vt:lpstr>
      <vt:lpstr>AreaContagemCasasDec</vt:lpstr>
      <vt:lpstr>CC</vt:lpstr>
      <vt:lpstr>CoefAssim</vt:lpstr>
      <vt:lpstr>CoefVar</vt:lpstr>
      <vt:lpstr>Col_xi2fi</vt:lpstr>
      <vt:lpstr>Col_xifi</vt:lpstr>
      <vt:lpstr>DadosClassif</vt:lpstr>
      <vt:lpstr>DadosOrig</vt:lpstr>
      <vt:lpstr>DecPercentil</vt:lpstr>
      <vt:lpstr>Max</vt:lpstr>
      <vt:lpstr>Md</vt:lpstr>
      <vt:lpstr>Media</vt:lpstr>
      <vt:lpstr>Min</vt:lpstr>
      <vt:lpstr>Mo</vt:lpstr>
      <vt:lpstr>n</vt:lpstr>
      <vt:lpstr>nCasasDec</vt:lpstr>
      <vt:lpstr>NonaPercentil</vt:lpstr>
      <vt:lpstr>Percentis</vt:lpstr>
      <vt:lpstr>PrimQuartil</vt:lpstr>
      <vt:lpstr>Quartis</vt:lpstr>
      <vt:lpstr>s</vt:lpstr>
      <vt:lpstr>TercQuartil</vt:lpstr>
      <vt:lpstr>xi2fi</vt:lpstr>
      <vt:lpstr>xifi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</dc:creator>
  <cp:lastModifiedBy>Adriano Bortoloto</cp:lastModifiedBy>
  <cp:lastPrinted>2011-11-01T17:42:56Z</cp:lastPrinted>
  <dcterms:created xsi:type="dcterms:W3CDTF">2011-09-13T23:47:31Z</dcterms:created>
  <dcterms:modified xsi:type="dcterms:W3CDTF">2015-09-11T18:23:29Z</dcterms:modified>
</cp:coreProperties>
</file>