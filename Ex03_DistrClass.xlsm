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120" yWindow="45" windowWidth="19320" windowHeight="7995"/>
  </bookViews>
  <sheets>
    <sheet name="Ex03" sheetId="1" r:id="rId1"/>
  </sheets>
  <definedNames>
    <definedName name="AA">'Ex03'!L9C2</definedName>
    <definedName name="AreaContagemCasasDec">'Ex03'!L50C21:L104C21</definedName>
    <definedName name="CC">'Ex03'!L16C15</definedName>
    <definedName name="CoefAssim">'Ex03'!L15C15</definedName>
    <definedName name="CoefVar">'Ex03'!L14C15</definedName>
    <definedName name="Col_xi">'Ex03'!L14C4:L33C4</definedName>
    <definedName name="ColClasses">'Ex03'!L14C1:L33C1</definedName>
    <definedName name="Cols_xifi_xi2fi">'Ex03'!L14C6:L34C7</definedName>
    <definedName name="DadosOrig">'Ex03'!L2C1:L6C11</definedName>
    <definedName name="DecPercentil">'Ex03'!L10C16</definedName>
    <definedName name="h">'Ex03'!L10C2</definedName>
    <definedName name="Intervalos">'Ex03'!L14C2:L33C3</definedName>
    <definedName name="k">'Ex03'!L8C2</definedName>
    <definedName name="Md">'Ex03'!L6C16</definedName>
    <definedName name="Media">'Ex03'!L8C5</definedName>
    <definedName name="Mo">'Ex03'!L10C5</definedName>
    <definedName name="n">'Ex03'!L38C1</definedName>
    <definedName name="nCasas">'Ex03'!L8C9</definedName>
    <definedName name="nCol">'Ex03'!L37C1</definedName>
    <definedName name="nLin">'Ex03'!L36C1</definedName>
    <definedName name="NonaPercentil">'Ex03'!L11C16</definedName>
    <definedName name="P1q">'Ex03'!L5C14</definedName>
    <definedName name="P3q">'Ex03'!L7C14</definedName>
    <definedName name="Percentis">'Ex03'!L10C16:'Ex03'!L11C16</definedName>
    <definedName name="PMd">'Ex03'!L6C14</definedName>
    <definedName name="PrimQuartil">'Ex03'!L5C16</definedName>
    <definedName name="Quartis">'Ex03'!L5C16:L7C16</definedName>
    <definedName name="s">'Ex03'!L13C15</definedName>
    <definedName name="Tab_fi">'Ex03'!L14C5:L33C5</definedName>
    <definedName name="TercQuartil">'Ex03'!L7C16</definedName>
    <definedName name="xi2fi">'Ex03'!L34C7</definedName>
    <definedName name="xifi">'Ex03'!L34C6</definedName>
  </definedNames>
  <calcPr calcId="145621"/>
</workbook>
</file>

<file path=xl/calcChain.xml><?xml version="1.0" encoding="utf-8"?>
<calcChain xmlns="http://schemas.openxmlformats.org/spreadsheetml/2006/main">
  <c r="P11" i="1" l="1"/>
  <c r="P10" i="1"/>
  <c r="P7" i="1"/>
  <c r="P6" i="1"/>
  <c r="P5" i="1"/>
  <c r="A38" i="1"/>
  <c r="N10" i="1" s="1"/>
  <c r="A37" i="1"/>
  <c r="A36" i="1"/>
  <c r="O16" i="1" l="1"/>
  <c r="P16" i="1" s="1"/>
  <c r="N11" i="1"/>
  <c r="N6" i="1"/>
  <c r="N5" i="1"/>
  <c r="N7" i="1"/>
  <c r="H31" i="1"/>
  <c r="H32" i="1"/>
  <c r="H33" i="1"/>
  <c r="B8" i="1" l="1"/>
  <c r="B9" i="1" l="1"/>
  <c r="H25" i="1"/>
  <c r="H26" i="1"/>
  <c r="H27" i="1"/>
  <c r="H28" i="1"/>
  <c r="H29" i="1"/>
  <c r="H30" i="1"/>
  <c r="H14" i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B14" i="1"/>
  <c r="E34" i="1"/>
  <c r="B10" i="1" l="1"/>
  <c r="C14" i="1" s="1"/>
  <c r="A15" i="1" l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l="1"/>
  <c r="D14" i="1"/>
  <c r="B15" i="1" l="1"/>
  <c r="F14" i="1"/>
  <c r="G14" i="1" l="1"/>
  <c r="C15" i="1"/>
  <c r="B16" i="1" s="1"/>
  <c r="C16" i="1" s="1"/>
  <c r="B17" i="1" s="1"/>
  <c r="D16" i="1" l="1"/>
  <c r="D15" i="1"/>
  <c r="C17" i="1"/>
  <c r="B18" i="1" s="1"/>
  <c r="D17" i="1" l="1"/>
  <c r="F15" i="1"/>
  <c r="F16" i="1"/>
  <c r="G16" i="1" s="1"/>
  <c r="C18" i="1"/>
  <c r="B19" i="1" s="1"/>
  <c r="G15" i="1" l="1"/>
  <c r="D18" i="1"/>
  <c r="F17" i="1"/>
  <c r="G17" i="1" s="1"/>
  <c r="C19" i="1"/>
  <c r="B20" i="1" s="1"/>
  <c r="D19" i="1" l="1"/>
  <c r="F18" i="1"/>
  <c r="G18" i="1" l="1"/>
  <c r="F19" i="1"/>
  <c r="G19" i="1" s="1"/>
  <c r="C20" i="1"/>
  <c r="D20" i="1" l="1"/>
  <c r="F20" i="1" s="1"/>
  <c r="B21" i="1"/>
  <c r="C21" i="1" s="1"/>
  <c r="G20" i="1" l="1"/>
  <c r="E10" i="1"/>
  <c r="D21" i="1"/>
  <c r="B22" i="1"/>
  <c r="C22" i="1" s="1"/>
  <c r="D22" i="1" l="1"/>
  <c r="B23" i="1"/>
  <c r="C23" i="1" s="1"/>
  <c r="F21" i="1"/>
  <c r="G21" i="1" s="1"/>
  <c r="D23" i="1" l="1"/>
  <c r="B24" i="1"/>
  <c r="C24" i="1" s="1"/>
  <c r="F22" i="1"/>
  <c r="G22" i="1" s="1"/>
  <c r="D24" i="1" l="1"/>
  <c r="B25" i="1"/>
  <c r="C25" i="1" s="1"/>
  <c r="F23" i="1"/>
  <c r="G23" i="1" s="1"/>
  <c r="D25" i="1" l="1"/>
  <c r="B26" i="1"/>
  <c r="C26" i="1" s="1"/>
  <c r="F24" i="1"/>
  <c r="G24" i="1" s="1"/>
  <c r="D26" i="1" l="1"/>
  <c r="B27" i="1"/>
  <c r="C27" i="1" s="1"/>
  <c r="F25" i="1"/>
  <c r="G25" i="1" s="1"/>
  <c r="D27" i="1" l="1"/>
  <c r="B28" i="1"/>
  <c r="C28" i="1" s="1"/>
  <c r="F26" i="1"/>
  <c r="G26" i="1" s="1"/>
  <c r="D28" i="1" l="1"/>
  <c r="B29" i="1"/>
  <c r="C29" i="1" s="1"/>
  <c r="F27" i="1"/>
  <c r="G27" i="1" s="1"/>
  <c r="D29" i="1" l="1"/>
  <c r="B30" i="1"/>
  <c r="C30" i="1" s="1"/>
  <c r="F28" i="1"/>
  <c r="G28" i="1" s="1"/>
  <c r="D30" i="1" l="1"/>
  <c r="B31" i="1"/>
  <c r="C31" i="1" s="1"/>
  <c r="B32" i="1" s="1"/>
  <c r="C32" i="1" s="1"/>
  <c r="F29" i="1"/>
  <c r="G29" i="1" s="1"/>
  <c r="D32" i="1" l="1"/>
  <c r="F32" i="1" s="1"/>
  <c r="G32" i="1" s="1"/>
  <c r="B33" i="1"/>
  <c r="C33" i="1" s="1"/>
  <c r="D31" i="1"/>
  <c r="F30" i="1"/>
  <c r="G30" i="1" s="1"/>
  <c r="D33" i="1" l="1"/>
  <c r="F33" i="1" s="1"/>
  <c r="F31" i="1"/>
  <c r="G31" i="1" s="1"/>
  <c r="G33" i="1" l="1"/>
  <c r="G34" i="1" s="1"/>
  <c r="F34" i="1"/>
  <c r="E8" i="1" s="1"/>
  <c r="O13" i="1" l="1"/>
  <c r="O14" i="1" s="1"/>
  <c r="O15" i="1" l="1"/>
  <c r="P15" i="1" s="1"/>
</calcChain>
</file>

<file path=xl/sharedStrings.xml><?xml version="1.0" encoding="utf-8"?>
<sst xmlns="http://schemas.openxmlformats.org/spreadsheetml/2006/main" count="39" uniqueCount="37">
  <si>
    <t>Valor</t>
  </si>
  <si>
    <t>Média:</t>
  </si>
  <si>
    <t>Quartis</t>
  </si>
  <si>
    <t>Percentis</t>
  </si>
  <si>
    <t>1q</t>
  </si>
  <si>
    <t>Md</t>
  </si>
  <si>
    <t>3q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</si>
  <si>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1q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</si>
  <si>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Md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</si>
  <si>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3q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</si>
  <si>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10p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</si>
  <si>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90p</t>
    </r>
  </si>
  <si>
    <t>Posição</t>
  </si>
  <si>
    <t>10p</t>
  </si>
  <si>
    <t>90p</t>
  </si>
  <si>
    <t>Desvio Padrão:</t>
  </si>
  <si>
    <t>SEPARATRIZES:</t>
  </si>
  <si>
    <t>Moda:</t>
  </si>
  <si>
    <t>Coef. de Assimetria:</t>
  </si>
  <si>
    <t>Coef. de Variação:</t>
  </si>
  <si>
    <t>Coef. de Curtose:</t>
  </si>
  <si>
    <t>k:</t>
  </si>
  <si>
    <t>A.A.:</t>
  </si>
  <si>
    <t>h:</t>
  </si>
  <si>
    <t>Classes</t>
  </si>
  <si>
    <t>Intervalos</t>
  </si>
  <si>
    <t>Totais</t>
  </si>
  <si>
    <t>Distribuição das frequências</t>
  </si>
  <si>
    <t>?=l* + [ (pos -F anterior a *) * h)/f*</t>
  </si>
  <si>
    <t>* = classe marcada</t>
  </si>
  <si>
    <t>Tempo de inicialização do Windows 7 em 55 dias (segundos):</t>
  </si>
  <si>
    <t>Fix:</t>
  </si>
  <si>
    <r>
      <t>x</t>
    </r>
    <r>
      <rPr>
        <vertAlign val="subscript"/>
        <sz val="14"/>
        <color theme="1"/>
        <rFont val="Calibri"/>
        <family val="2"/>
        <scheme val="minor"/>
      </rPr>
      <t>i</t>
    </r>
  </si>
  <si>
    <r>
      <t>f</t>
    </r>
    <r>
      <rPr>
        <vertAlign val="subscript"/>
        <sz val="14"/>
        <color theme="1"/>
        <rFont val="Calibri"/>
        <family val="2"/>
        <scheme val="minor"/>
      </rPr>
      <t>i</t>
    </r>
  </si>
  <si>
    <r>
      <t>x</t>
    </r>
    <r>
      <rPr>
        <vertAlign val="subscript"/>
        <sz val="14"/>
        <rFont val="Calibri"/>
        <family val="2"/>
        <scheme val="minor"/>
      </rPr>
      <t>i</t>
    </r>
    <r>
      <rPr>
        <sz val="14"/>
        <rFont val="Calibri"/>
        <family val="2"/>
        <scheme val="minor"/>
      </rPr>
      <t>f</t>
    </r>
    <r>
      <rPr>
        <vertAlign val="subscript"/>
        <sz val="14"/>
        <rFont val="Calibri"/>
        <family val="2"/>
        <scheme val="minor"/>
      </rPr>
      <t>i</t>
    </r>
  </si>
  <si>
    <r>
      <t>x</t>
    </r>
    <r>
      <rPr>
        <vertAlign val="subscript"/>
        <sz val="14"/>
        <color theme="1"/>
        <rFont val="Calibri"/>
        <family val="2"/>
        <scheme val="minor"/>
      </rPr>
      <t>i</t>
    </r>
    <r>
      <rPr>
        <vertAlign val="superscript"/>
        <sz val="14"/>
        <color theme="1"/>
        <rFont val="Calibri"/>
        <family val="2"/>
        <scheme val="minor"/>
      </rPr>
      <t>2</t>
    </r>
    <r>
      <rPr>
        <sz val="14"/>
        <color theme="1"/>
        <rFont val="Calibri"/>
        <family val="2"/>
        <scheme val="minor"/>
      </rPr>
      <t>f</t>
    </r>
    <r>
      <rPr>
        <vertAlign val="subscript"/>
        <sz val="14"/>
        <color theme="1"/>
        <rFont val="Calibri"/>
        <family val="2"/>
        <scheme val="minor"/>
      </rPr>
      <t>i</t>
    </r>
  </si>
  <si>
    <r>
      <t>F</t>
    </r>
    <r>
      <rPr>
        <vertAlign val="subscript"/>
        <sz val="14"/>
        <color theme="1"/>
        <rFont val="Calibri"/>
        <family val="2"/>
        <scheme val="minor"/>
      </rPr>
      <t>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</si>
</sst>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\°"/>
    <numFmt numFmtId="165" formatCode="General\ª"/>
    <numFmt numFmtId="166" formatCode="0.0"/>
    <numFmt numFmtId="167" formatCode="0.0%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vertAlign val="subscript"/>
      <sz val="14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 applyProtection="1">
      <alignment vertical="center"/>
    </xf>
    <xf numFmtId="0" fontId="0" fillId="0" borderId="0" xfId="0" applyProtection="1"/>
    <xf numFmtId="0" fontId="0" fillId="2" borderId="1" xfId="0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NumberFormat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1" fillId="0" borderId="3" xfId="0" applyFont="1" applyFill="1" applyBorder="1" applyAlignment="1" applyProtection="1"/>
    <xf numFmtId="0" fontId="1" fillId="0" borderId="1" xfId="0" applyFont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/>
    </xf>
    <xf numFmtId="0" fontId="0" fillId="0" borderId="6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8" xfId="0" applyBorder="1" applyProtection="1"/>
    <xf numFmtId="0" fontId="0" fillId="0" borderId="9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7" fillId="0" borderId="9" xfId="0" applyFont="1" applyFill="1" applyBorder="1" applyAlignment="1" applyProtection="1">
      <alignment vertical="center"/>
    </xf>
    <xf numFmtId="164" fontId="1" fillId="0" borderId="1" xfId="0" applyNumberFormat="1" applyFont="1" applyFill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0" fontId="8" fillId="0" borderId="0" xfId="0" applyFont="1" applyProtection="1"/>
    <xf numFmtId="0" fontId="9" fillId="0" borderId="1" xfId="0" applyFont="1" applyBorder="1" applyAlignment="1" applyProtection="1">
      <alignment horizontal="center" vertical="center"/>
    </xf>
    <xf numFmtId="1" fontId="0" fillId="0" borderId="0" xfId="0" applyNumberFormat="1" applyProtection="1"/>
    <xf numFmtId="0" fontId="1" fillId="2" borderId="4" xfId="0" applyFont="1" applyFill="1" applyBorder="1" applyAlignment="1" applyProtection="1">
      <alignment horizontal="center" vertical="center"/>
    </xf>
    <xf numFmtId="166" fontId="1" fillId="0" borderId="1" xfId="0" applyNumberFormat="1" applyFont="1" applyBorder="1" applyAlignment="1" applyProtection="1">
      <alignment horizontal="center" vertical="center"/>
    </xf>
    <xf numFmtId="166" fontId="0" fillId="0" borderId="1" xfId="0" applyNumberFormat="1" applyBorder="1" applyAlignment="1" applyProtection="1">
      <alignment horizontal="center" vertical="center"/>
    </xf>
    <xf numFmtId="166" fontId="5" fillId="0" borderId="1" xfId="0" applyNumberFormat="1" applyFont="1" applyBorder="1" applyAlignment="1" applyProtection="1">
      <alignment horizontal="center" vertical="center"/>
    </xf>
    <xf numFmtId="166" fontId="2" fillId="0" borderId="1" xfId="0" applyNumberFormat="1" applyFont="1" applyBorder="1" applyAlignment="1" applyProtection="1">
      <alignment horizontal="center" vertical="center"/>
    </xf>
    <xf numFmtId="166" fontId="1" fillId="0" borderId="1" xfId="0" applyNumberFormat="1" applyFont="1" applyFill="1" applyBorder="1" applyAlignment="1" applyProtection="1">
      <alignment horizontal="center" vertical="center"/>
    </xf>
    <xf numFmtId="166" fontId="1" fillId="0" borderId="4" xfId="0" applyNumberFormat="1" applyFont="1" applyBorder="1" applyAlignment="1" applyProtection="1">
      <alignment horizontal="center" vertical="center"/>
    </xf>
    <xf numFmtId="167" fontId="1" fillId="0" borderId="1" xfId="1" applyNumberFormat="1" applyFont="1" applyBorder="1" applyAlignment="1" applyProtection="1">
      <alignment horizontal="center" vertical="center"/>
    </xf>
    <xf numFmtId="2" fontId="0" fillId="0" borderId="0" xfId="0" applyNumberFormat="1" applyProtection="1"/>
    <xf numFmtId="0" fontId="1" fillId="4" borderId="1" xfId="0" applyFont="1" applyFill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/>
    </xf>
    <xf numFmtId="0" fontId="13" fillId="2" borderId="1" xfId="0" applyFont="1" applyFill="1" applyBorder="1" applyAlignment="1" applyProtection="1">
      <alignment horizontal="center" vertical="center"/>
    </xf>
    <xf numFmtId="1" fontId="16" fillId="5" borderId="1" xfId="0" applyNumberFormat="1" applyFont="1" applyFill="1" applyBorder="1" applyAlignment="1" applyProtection="1">
      <alignment horizontal="center" vertical="center"/>
      <protection locked="0"/>
    </xf>
    <xf numFmtId="1" fontId="16" fillId="5" borderId="1" xfId="0" quotePrefix="1" applyNumberFormat="1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defRPr>
            </a:pPr>
            <a:r>
              <a:rPr lang="pt-BR"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rPr>
              <a:t>Histograma</a:t>
            </a:r>
          </a:p>
        </c:rich>
      </c:tx>
      <c:layout>
        <c:manualLayout>
          <c:xMode val="edge"/>
          <c:yMode val="edge"/>
          <c:x val="0.38315100879565711"/>
          <c:y val="1.82647381843227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757207829937287"/>
          <c:y val="0.24622959364122102"/>
          <c:w val="0.78503396044960028"/>
          <c:h val="0.54142588559408966"/>
        </c:manualLayout>
      </c:layout>
      <c:barChart>
        <c:barDir val="col"/>
        <c:grouping val="clustered"/>
        <c:varyColors val="0"/>
        <c:ser>
          <c:idx val="0"/>
          <c:order val="0"/>
          <c:tx>
            <c:v>Xi</c:v>
          </c:tx>
          <c:spPr>
            <a:ln w="12700">
              <a:solidFill>
                <a:srgbClr val="FF0000"/>
              </a:solidFill>
            </a:ln>
          </c:spPr>
          <c:invertIfNegative val="0"/>
          <c:cat>
            <c:strRef>
              <c:f>'Ex03'!$A$14:$A$33</c:f>
              <c:strCache>
                <c:ptCount val="1"/>
                <c:pt idx="0">
                  <c:v>1ª</c:v>
                </c:pt>
              </c:strCache>
            </c:strRef>
          </c:cat>
          <c:val>
            <c:numRef>
              <c:f>'Ex03'!$E$14:$E$33</c:f>
              <c:numCache>
                <c:formatCode>General</c:formatCode>
                <c:ptCount val="7"/>
                <c:pt idx="0">
                  <c:v>12</c:v>
                </c:pt>
                <c:pt idx="1">
                  <c:v>13</c:v>
                </c:pt>
                <c:pt idx="2">
                  <c:v>7</c:v>
                </c:pt>
                <c:pt idx="3">
                  <c:v>17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0965760"/>
        <c:axId val="121176832"/>
      </c:barChart>
      <c:lineChart>
        <c:grouping val="standard"/>
        <c:varyColors val="0"/>
        <c:ser>
          <c:idx val="1"/>
          <c:order val="1"/>
          <c:tx>
            <c:strRef>
              <c:f>'Ex03'!$D$13</c:f>
              <c:strCache>
                <c:ptCount val="1"/>
                <c:pt idx="0">
                  <c:v>xi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</c:dLbls>
          <c:cat>
            <c:numRef>
              <c:f>'Ex03'!$D$14:$D$33</c:f>
            </c:numRef>
          </c:cat>
          <c:val>
            <c:numRef>
              <c:f>'Ex03'!$E$14:$E$33</c:f>
              <c:numCache>
                <c:formatCode>General</c:formatCode>
                <c:ptCount val="7"/>
                <c:pt idx="0">
                  <c:v>12</c:v>
                </c:pt>
                <c:pt idx="1">
                  <c:v>13</c:v>
                </c:pt>
                <c:pt idx="2">
                  <c:v>7</c:v>
                </c:pt>
                <c:pt idx="3">
                  <c:v>17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188736"/>
        <c:axId val="121178752"/>
      </c:lineChart>
      <c:catAx>
        <c:axId val="12096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pt-BR" sz="14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Classes </a:t>
                </a:r>
                <a:r>
                  <a:rPr lang="pt-BR" sz="1400" b="1" i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( k )</a:t>
                </a:r>
              </a:p>
            </c:rich>
          </c:tx>
          <c:layout>
            <c:manualLayout>
              <c:xMode val="edge"/>
              <c:yMode val="edge"/>
              <c:x val="0.47967502153833824"/>
              <c:y val="0.87395208577651196"/>
            </c:manualLayout>
          </c:layout>
          <c:overlay val="0"/>
        </c:title>
        <c:numFmt formatCode="General\ª" sourceLinked="0"/>
        <c:majorTickMark val="out"/>
        <c:minorTickMark val="none"/>
        <c:tickLblPos val="nextTo"/>
        <c:spPr>
          <a:ln>
            <a:solidFill>
              <a:schemeClr val="tx1"/>
            </a:solidFill>
            <a:tailEnd type="triangle"/>
          </a:ln>
        </c:spPr>
        <c:crossAx val="121176832"/>
        <c:crosses val="autoZero"/>
        <c:auto val="1"/>
        <c:lblAlgn val="ctr"/>
        <c:lblOffset val="100"/>
        <c:noMultiLvlLbl val="0"/>
      </c:catAx>
      <c:valAx>
        <c:axId val="12117683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pt-BR" sz="16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Frequência </a:t>
                </a:r>
                <a:r>
                  <a:rPr lang="pt-BR" sz="1600" b="1" i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( f</a:t>
                </a:r>
                <a:r>
                  <a:rPr lang="pt-BR" sz="1600" b="1" i="1" cap="none" spc="0" baseline="-2500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i </a:t>
                </a:r>
                <a:r>
                  <a:rPr lang="pt-BR" sz="1600" b="1" i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  <a:tailEnd type="triangle"/>
          </a:ln>
        </c:spPr>
        <c:crossAx val="120965760"/>
        <c:crosses val="autoZero"/>
        <c:crossBetween val="between"/>
      </c:valAx>
      <c:valAx>
        <c:axId val="121178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21188736"/>
        <c:crosses val="max"/>
        <c:crossBetween val="between"/>
      </c:valAx>
      <c:catAx>
        <c:axId val="12118873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one"/>
        <c:crossAx val="12117875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0800000" scaled="1"/>
      <a:tileRect/>
    </a:gradFill>
  </c:spPr>
  <c:printSettings>
    <c:headerFooter/>
    <c:pageMargins b="0.78740157499999996" l="0.511811024" r="0.511811024" t="0.78740157499999996" header="0.31496062000000125" footer="0.314960620000001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defRPr>
            </a:pPr>
            <a:r>
              <a:rPr lang="pt-BR"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rPr>
              <a:t>POLÍGONO</a:t>
            </a:r>
            <a:r>
              <a:rPr lang="pt-BR" b="1" cap="all" spc="0" baseline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rPr>
              <a:t> DE FREQUÊNCIA ACUMULADA</a:t>
            </a:r>
            <a:endParaRPr lang="pt-BR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endParaRP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757207829937287"/>
          <c:y val="0.24622959364122107"/>
          <c:w val="0.78503396044960028"/>
          <c:h val="0.54142588559408977"/>
        </c:manualLayout>
      </c:layout>
      <c:barChart>
        <c:barDir val="col"/>
        <c:grouping val="clustered"/>
        <c:varyColors val="0"/>
        <c:ser>
          <c:idx val="0"/>
          <c:order val="0"/>
          <c:tx>
            <c:v>xi1</c:v>
          </c:tx>
          <c:spPr>
            <a:noFill/>
            <a:ln w="3175">
              <a:noFill/>
            </a:ln>
          </c:spPr>
          <c:invertIfNegative val="0"/>
          <c:cat>
            <c:strRef>
              <c:f>'Ex03'!$A$13:$A$33</c:f>
              <c:strCache>
                <c:ptCount val="2"/>
                <c:pt idx="0">
                  <c:v>Classes</c:v>
                </c:pt>
                <c:pt idx="1">
                  <c:v>1ª</c:v>
                </c:pt>
              </c:strCache>
            </c:strRef>
          </c:cat>
          <c:val>
            <c:numRef>
              <c:f>'Ex03'!$H$13:$H$34</c:f>
              <c:numCache>
                <c:formatCode>General</c:formatCode>
                <c:ptCount val="9"/>
                <c:pt idx="0">
                  <c:v>0</c:v>
                </c:pt>
                <c:pt idx="1">
                  <c:v>12</c:v>
                </c:pt>
                <c:pt idx="2">
                  <c:v>25</c:v>
                </c:pt>
                <c:pt idx="3">
                  <c:v>32</c:v>
                </c:pt>
                <c:pt idx="4">
                  <c:v>49</c:v>
                </c:pt>
                <c:pt idx="5">
                  <c:v>53</c:v>
                </c:pt>
                <c:pt idx="6">
                  <c:v>53</c:v>
                </c:pt>
                <c:pt idx="7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236096"/>
        <c:axId val="121316096"/>
      </c:barChart>
      <c:lineChart>
        <c:grouping val="standard"/>
        <c:varyColors val="0"/>
        <c:ser>
          <c:idx val="1"/>
          <c:order val="1"/>
          <c:tx>
            <c:v>xi2</c:v>
          </c:tx>
          <c:spPr>
            <a:ln w="19050"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'Ex03'!$A$14:$A$33</c:f>
              <c:strCache>
                <c:ptCount val="1"/>
                <c:pt idx="0">
                  <c:v>1ª</c:v>
                </c:pt>
              </c:strCache>
            </c:strRef>
          </c:cat>
          <c:val>
            <c:numRef>
              <c:f>'Ex03'!$H$13:$H$33</c:f>
              <c:numCache>
                <c:formatCode>General</c:formatCode>
                <c:ptCount val="8"/>
                <c:pt idx="0">
                  <c:v>0</c:v>
                </c:pt>
                <c:pt idx="1">
                  <c:v>12</c:v>
                </c:pt>
                <c:pt idx="2">
                  <c:v>25</c:v>
                </c:pt>
                <c:pt idx="3">
                  <c:v>32</c:v>
                </c:pt>
                <c:pt idx="4">
                  <c:v>49</c:v>
                </c:pt>
                <c:pt idx="5">
                  <c:v>53</c:v>
                </c:pt>
                <c:pt idx="6">
                  <c:v>53</c:v>
                </c:pt>
                <c:pt idx="7">
                  <c:v>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chemeClr val="bg1">
                  <a:lumMod val="75000"/>
                </a:schemeClr>
              </a:solidFill>
              <a:prstDash val="dash"/>
            </a:ln>
          </c:spPr>
        </c:dropLines>
        <c:marker val="1"/>
        <c:smooth val="0"/>
        <c:axId val="121328000"/>
        <c:axId val="121318016"/>
      </c:lineChart>
      <c:catAx>
        <c:axId val="121236096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4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pt-BR" sz="14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Classes </a:t>
                </a:r>
                <a:r>
                  <a:rPr lang="pt-BR" sz="1400" b="1" i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( k )</a:t>
                </a:r>
              </a:p>
            </c:rich>
          </c:tx>
          <c:layout>
            <c:manualLayout>
              <c:xMode val="edge"/>
              <c:yMode val="edge"/>
              <c:x val="0.47967502153833824"/>
              <c:y val="0.87395208577651196"/>
            </c:manualLayout>
          </c:layout>
          <c:overlay val="0"/>
        </c:title>
        <c:numFmt formatCode="General\ª" sourceLinked="0"/>
        <c:majorTickMark val="out"/>
        <c:minorTickMark val="none"/>
        <c:tickLblPos val="nextTo"/>
        <c:crossAx val="121316096"/>
        <c:crosses val="autoZero"/>
        <c:auto val="1"/>
        <c:lblAlgn val="ctr"/>
        <c:lblOffset val="100"/>
        <c:noMultiLvlLbl val="0"/>
      </c:catAx>
      <c:valAx>
        <c:axId val="1213160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pt-BR" sz="16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Frequência </a:t>
                </a:r>
                <a:r>
                  <a:rPr lang="pt-BR" sz="1600" b="1" i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( F</a:t>
                </a:r>
                <a:r>
                  <a:rPr lang="pt-BR" sz="1600" b="1" i="1" cap="none" spc="0" baseline="-2500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i </a:t>
                </a:r>
                <a:r>
                  <a:rPr lang="pt-BR" sz="1600" b="1" i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  <a:tailEnd type="triangle"/>
          </a:ln>
        </c:spPr>
        <c:crossAx val="121236096"/>
        <c:crosses val="autoZero"/>
        <c:crossBetween val="midCat"/>
      </c:valAx>
      <c:valAx>
        <c:axId val="121318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21328000"/>
        <c:crosses val="max"/>
        <c:crossBetween val="between"/>
      </c:valAx>
      <c:catAx>
        <c:axId val="121328000"/>
        <c:scaling>
          <c:orientation val="minMax"/>
        </c:scaling>
        <c:delete val="1"/>
        <c:axPos val="b"/>
        <c:numFmt formatCode="General\ª" sourceLinked="1"/>
        <c:majorTickMark val="out"/>
        <c:minorTickMark val="none"/>
        <c:tickLblPos val="none"/>
        <c:crossAx val="12131801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0800000" scaled="1"/>
      <a:tileRect/>
    </a:gradFill>
  </c:spPr>
  <c:printSettings>
    <c:headerFooter/>
    <c:pageMargins b="0.78740157499999996" l="0.511811024" r="0.511811024" t="0.78740157499999996" header="0.31496062000000136" footer="0.3149606200000013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57207829937287"/>
          <c:y val="0.24622959364122113"/>
          <c:w val="0.78503396044960028"/>
          <c:h val="0.54142588559408988"/>
        </c:manualLayout>
      </c:layout>
      <c:barChart>
        <c:barDir val="col"/>
        <c:grouping val="clustered"/>
        <c:varyColors val="0"/>
        <c:ser>
          <c:idx val="0"/>
          <c:order val="0"/>
          <c:tx>
            <c:v>xi1</c:v>
          </c:tx>
          <c:spPr>
            <a:noFill/>
            <a:ln w="12700">
              <a:noFill/>
            </a:ln>
          </c:spPr>
          <c:invertIfNegative val="0"/>
          <c:cat>
            <c:strRef>
              <c:f>'Ex03'!$A$14:$A$33</c:f>
              <c:strCache>
                <c:ptCount val="1"/>
                <c:pt idx="0">
                  <c:v>1ª</c:v>
                </c:pt>
              </c:strCache>
            </c:strRef>
          </c:cat>
          <c:val>
            <c:numRef>
              <c:f>'Ex03'!$H$14:$H$34</c:f>
              <c:numCache>
                <c:formatCode>General</c:formatCode>
                <c:ptCount val="8"/>
                <c:pt idx="0">
                  <c:v>12</c:v>
                </c:pt>
                <c:pt idx="1">
                  <c:v>25</c:v>
                </c:pt>
                <c:pt idx="2">
                  <c:v>32</c:v>
                </c:pt>
                <c:pt idx="3">
                  <c:v>49</c:v>
                </c:pt>
                <c:pt idx="4">
                  <c:v>53</c:v>
                </c:pt>
                <c:pt idx="5">
                  <c:v>53</c:v>
                </c:pt>
                <c:pt idx="6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364480"/>
        <c:axId val="121366016"/>
      </c:barChart>
      <c:catAx>
        <c:axId val="121364480"/>
        <c:scaling>
          <c:orientation val="minMax"/>
        </c:scaling>
        <c:delete val="0"/>
        <c:axPos val="b"/>
        <c:numFmt formatCode="General\ª" sourceLinked="0"/>
        <c:majorTickMark val="none"/>
        <c:minorTickMark val="out"/>
        <c:tickLblPos val="nextTo"/>
        <c:spPr>
          <a:ln>
            <a:solidFill>
              <a:schemeClr val="tx1"/>
            </a:solidFill>
            <a:tailEnd type="triangle"/>
          </a:ln>
        </c:spPr>
        <c:crossAx val="121366016"/>
        <c:crosses val="autoZero"/>
        <c:auto val="1"/>
        <c:lblAlgn val="ctr"/>
        <c:lblOffset val="100"/>
        <c:noMultiLvlLbl val="0"/>
      </c:catAx>
      <c:valAx>
        <c:axId val="1213660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3644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141" footer="0.31496062000000141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31750</xdr:rowOff>
    </xdr:from>
    <xdr:to>
      <xdr:col>8</xdr:col>
      <xdr:colOff>296333</xdr:colOff>
      <xdr:row>56</xdr:row>
      <xdr:rowOff>31749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550334</xdr:colOff>
      <xdr:row>39</xdr:row>
      <xdr:rowOff>10584</xdr:rowOff>
    </xdr:from>
    <xdr:to>
      <xdr:col>17</xdr:col>
      <xdr:colOff>31750</xdr:colOff>
      <xdr:row>56</xdr:row>
      <xdr:rowOff>10583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560918</xdr:colOff>
      <xdr:row>39</xdr:row>
      <xdr:rowOff>10583</xdr:rowOff>
    </xdr:from>
    <xdr:to>
      <xdr:col>17</xdr:col>
      <xdr:colOff>42334</xdr:colOff>
      <xdr:row>56</xdr:row>
      <xdr:rowOff>21164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529195</xdr:colOff>
      <xdr:row>17</xdr:row>
      <xdr:rowOff>0</xdr:rowOff>
    </xdr:from>
    <xdr:to>
      <xdr:col>12</xdr:col>
      <xdr:colOff>613861</xdr:colOff>
      <xdr:row>19</xdr:row>
      <xdr:rowOff>123032</xdr:rowOff>
    </xdr:to>
    <xdr:sp macro="" textlink="">
      <xdr:nvSpPr>
        <xdr:cNvPr id="5" name="Ondulado 4"/>
        <xdr:cNvSpPr/>
      </xdr:nvSpPr>
      <xdr:spPr>
        <a:xfrm>
          <a:off x="6032528" y="4339167"/>
          <a:ext cx="2762250" cy="631032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DISTRIBUIÇÃO POR CLASSES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11</xdr:col>
      <xdr:colOff>129645</xdr:colOff>
      <xdr:row>11</xdr:row>
      <xdr:rowOff>63500</xdr:rowOff>
    </xdr:to>
    <xdr:sp macro="" textlink="">
      <xdr:nvSpPr>
        <xdr:cNvPr id="8" name="CaixaDeTexto 7"/>
        <xdr:cNvSpPr txBox="1"/>
      </xdr:nvSpPr>
      <xdr:spPr>
        <a:xfrm>
          <a:off x="4815417" y="2286000"/>
          <a:ext cx="2881311" cy="571500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Preencha os campos em verde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03">
    <pageSetUpPr fitToPage="1"/>
  </sheetPr>
  <dimension ref="A1:Q60"/>
  <sheetViews>
    <sheetView showGridLines="0" tabSelected="1" zoomScale="90" zoomScaleNormal="90" workbookViewId="0">
      <selection activeCell="J13" sqref="J13"/>
    </sheetView>
  </sheetViews>
  <sheetFormatPr defaultRowHeight="15" outlineLevelRow="1" x14ac:dyDescent="0.25"/>
  <cols>
    <col min="1" max="11" width="10.28515625" style="2" customWidth="1"/>
    <col min="12" max="12" width="9.140625" style="2" customWidth="1"/>
    <col min="13" max="13" width="10.28515625" style="2" customWidth="1"/>
    <col min="14" max="14" width="9.140625" style="2"/>
    <col min="15" max="15" width="9.28515625" style="2" bestFit="1" customWidth="1"/>
    <col min="16" max="16" width="16.5703125" style="2" customWidth="1"/>
    <col min="17" max="16384" width="9.140625" style="2"/>
  </cols>
  <sheetData>
    <row r="1" spans="1:17" ht="20.25" customHeight="1" x14ac:dyDescent="0.25">
      <c r="A1" s="29" t="s">
        <v>30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Q1"/>
    </row>
    <row r="2" spans="1:17" ht="20.25" customHeight="1" x14ac:dyDescent="0.25">
      <c r="A2" s="50">
        <v>12</v>
      </c>
      <c r="B2" s="50">
        <v>12</v>
      </c>
      <c r="C2" s="50">
        <v>13</v>
      </c>
      <c r="D2" s="50">
        <v>11</v>
      </c>
      <c r="E2" s="50">
        <v>12</v>
      </c>
      <c r="F2" s="50">
        <v>14</v>
      </c>
      <c r="G2" s="50">
        <v>15</v>
      </c>
      <c r="H2" s="50">
        <v>13</v>
      </c>
      <c r="I2" s="50">
        <v>13</v>
      </c>
      <c r="J2" s="50">
        <v>12</v>
      </c>
      <c r="K2" s="51">
        <v>13</v>
      </c>
      <c r="L2" s="1"/>
      <c r="M2" s="31" t="s">
        <v>16</v>
      </c>
      <c r="N2" s="28"/>
      <c r="O2" s="28"/>
      <c r="Q2"/>
    </row>
    <row r="3" spans="1:17" ht="20.25" customHeight="1" x14ac:dyDescent="0.25">
      <c r="A3" s="50">
        <v>14</v>
      </c>
      <c r="B3" s="50">
        <v>15</v>
      </c>
      <c r="C3" s="50">
        <v>12</v>
      </c>
      <c r="D3" s="50">
        <v>19</v>
      </c>
      <c r="E3" s="50">
        <v>12</v>
      </c>
      <c r="F3" s="50">
        <v>12</v>
      </c>
      <c r="G3" s="50">
        <v>11</v>
      </c>
      <c r="H3" s="50">
        <v>11</v>
      </c>
      <c r="I3" s="50">
        <v>12</v>
      </c>
      <c r="J3" s="50">
        <v>13</v>
      </c>
      <c r="K3" s="51">
        <v>15</v>
      </c>
      <c r="L3" s="1"/>
      <c r="M3" s="21" t="s">
        <v>2</v>
      </c>
      <c r="N3" s="7"/>
      <c r="O3" s="8"/>
      <c r="P3" s="10"/>
      <c r="Q3"/>
    </row>
    <row r="4" spans="1:17" ht="20.25" customHeight="1" x14ac:dyDescent="0.25">
      <c r="A4" s="50">
        <v>18</v>
      </c>
      <c r="B4" s="50">
        <v>11</v>
      </c>
      <c r="C4" s="50">
        <v>13</v>
      </c>
      <c r="D4" s="50">
        <v>15</v>
      </c>
      <c r="E4" s="50">
        <v>15</v>
      </c>
      <c r="F4" s="50">
        <v>16</v>
      </c>
      <c r="G4" s="50">
        <v>14</v>
      </c>
      <c r="H4" s="50">
        <v>14</v>
      </c>
      <c r="I4" s="50">
        <v>16</v>
      </c>
      <c r="J4" s="50">
        <v>14</v>
      </c>
      <c r="K4" s="51">
        <v>11</v>
      </c>
      <c r="L4" s="1"/>
      <c r="M4" s="52" t="s">
        <v>12</v>
      </c>
      <c r="N4" s="53"/>
      <c r="O4" s="52" t="s">
        <v>0</v>
      </c>
      <c r="P4" s="53"/>
      <c r="Q4"/>
    </row>
    <row r="5" spans="1:17" ht="20.25" customHeight="1" x14ac:dyDescent="0.25">
      <c r="A5" s="50">
        <v>12</v>
      </c>
      <c r="B5" s="50">
        <v>12</v>
      </c>
      <c r="C5" s="50">
        <v>14</v>
      </c>
      <c r="D5" s="50">
        <v>15</v>
      </c>
      <c r="E5" s="50">
        <v>16</v>
      </c>
      <c r="F5" s="50">
        <v>16</v>
      </c>
      <c r="G5" s="50">
        <v>14</v>
      </c>
      <c r="H5" s="50">
        <v>12</v>
      </c>
      <c r="I5" s="50">
        <v>11</v>
      </c>
      <c r="J5" s="50">
        <v>10</v>
      </c>
      <c r="K5" s="51">
        <v>11</v>
      </c>
      <c r="L5" s="1"/>
      <c r="M5" s="4" t="s">
        <v>7</v>
      </c>
      <c r="N5" s="32" t="str">
        <f>IFERROR(n/4,"")</f>
        <v/>
      </c>
      <c r="O5" s="9" t="s">
        <v>4</v>
      </c>
      <c r="P5" s="43" t="str">
        <f>IFERROR(ROUND(QUARTILE(DadosOrig,1),nCasas),"")</f>
        <v/>
      </c>
      <c r="Q5"/>
    </row>
    <row r="6" spans="1:17" ht="20.25" customHeight="1" x14ac:dyDescent="0.25">
      <c r="A6" s="50">
        <v>11</v>
      </c>
      <c r="B6" s="50">
        <v>10</v>
      </c>
      <c r="C6" s="50">
        <v>10</v>
      </c>
      <c r="D6" s="50">
        <v>11</v>
      </c>
      <c r="E6" s="50">
        <v>12</v>
      </c>
      <c r="F6" s="51">
        <v>13</v>
      </c>
      <c r="G6" s="50">
        <v>14</v>
      </c>
      <c r="H6" s="51">
        <v>14</v>
      </c>
      <c r="I6" s="51">
        <v>14</v>
      </c>
      <c r="J6" s="51">
        <v>15</v>
      </c>
      <c r="K6" s="51">
        <v>12</v>
      </c>
      <c r="L6" s="1"/>
      <c r="M6" s="4" t="s">
        <v>8</v>
      </c>
      <c r="N6" s="32" t="str">
        <f>IFERROR(n/2,"")</f>
        <v/>
      </c>
      <c r="O6" s="9" t="s">
        <v>5</v>
      </c>
      <c r="P6" s="43" t="str">
        <f>IFERROR(ROUND(QUARTILE(DadosOrig,2),nCasas),"")</f>
        <v/>
      </c>
      <c r="Q6"/>
    </row>
    <row r="7" spans="1:17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" t="s">
        <v>9</v>
      </c>
      <c r="N7" s="32" t="str">
        <f>IFERROR(3*(n/4),"")</f>
        <v/>
      </c>
      <c r="O7" s="9" t="s">
        <v>6</v>
      </c>
      <c r="P7" s="43" t="str">
        <f>IFERROR(ROUND(QUARTILE(DadosOrig,3),nCasas),"")</f>
        <v/>
      </c>
      <c r="Q7"/>
    </row>
    <row r="8" spans="1:17" ht="20.25" customHeight="1" x14ac:dyDescent="0.25">
      <c r="A8" s="3" t="s">
        <v>21</v>
      </c>
      <c r="B8" s="34" t="str">
        <f>IFERROR(ROUND(1+(3.3*LOG10(n)),0),"")</f>
        <v/>
      </c>
      <c r="D8" s="4" t="s">
        <v>1</v>
      </c>
      <c r="E8" s="39" t="str">
        <f>IFERROR(ROUND(xifi/COUNT(DadosOrig),nCasas),"")</f>
        <v/>
      </c>
      <c r="F8"/>
      <c r="G8" s="1"/>
      <c r="H8" s="18" t="s">
        <v>31</v>
      </c>
      <c r="I8" s="47">
        <v>1</v>
      </c>
      <c r="K8" s="16"/>
      <c r="M8" s="21" t="s">
        <v>3</v>
      </c>
      <c r="N8" s="7"/>
      <c r="O8" s="8"/>
      <c r="P8" s="10"/>
      <c r="Q8"/>
    </row>
    <row r="9" spans="1:17" ht="20.25" customHeight="1" x14ac:dyDescent="0.25">
      <c r="A9" s="3" t="s">
        <v>22</v>
      </c>
      <c r="B9" s="39" t="str">
        <f>IFERROR(ROUND(MAX(DadosOrig)-MIN(DadosOrig),nCasas),"")</f>
        <v/>
      </c>
      <c r="D9" s="1"/>
      <c r="E9" s="1"/>
      <c r="F9" s="1"/>
      <c r="G9" s="1"/>
      <c r="K9" s="1"/>
      <c r="L9" s="1"/>
      <c r="M9" s="52" t="s">
        <v>12</v>
      </c>
      <c r="N9" s="53"/>
      <c r="O9" s="52" t="s">
        <v>0</v>
      </c>
      <c r="P9" s="53"/>
      <c r="Q9"/>
    </row>
    <row r="10" spans="1:17" ht="20.25" customHeight="1" x14ac:dyDescent="0.25">
      <c r="A10" s="3" t="s">
        <v>23</v>
      </c>
      <c r="B10" s="39" t="str">
        <f>IFERROR(ROUNDUP(AA/k,nCasas),"")</f>
        <v/>
      </c>
      <c r="D10" s="38" t="s">
        <v>17</v>
      </c>
      <c r="E10" s="39" t="str">
        <f>IFERROR(VLOOKUP(MAX(E14:E20),E14:F20,2,0)/MAX(E14:E20),"")</f>
        <v/>
      </c>
      <c r="F10"/>
      <c r="G10" s="46"/>
      <c r="K10" s="1"/>
      <c r="L10" s="1"/>
      <c r="M10" s="4" t="s">
        <v>10</v>
      </c>
      <c r="N10" s="32" t="str">
        <f>IFERROR((10*n)/100,"")</f>
        <v/>
      </c>
      <c r="O10" s="23" t="s">
        <v>13</v>
      </c>
      <c r="P10" s="43" t="str">
        <f>IFERROR(ROUND(PERCENTILE(DadosOrig,10%),nCasas),"")</f>
        <v/>
      </c>
      <c r="Q10"/>
    </row>
    <row r="11" spans="1:17" ht="20.25" customHeight="1" x14ac:dyDescent="0.25">
      <c r="A11" s="15"/>
      <c r="F11"/>
      <c r="G11" s="1"/>
      <c r="H11" s="1"/>
      <c r="I11" s="1"/>
      <c r="J11" s="1"/>
      <c r="K11" s="1"/>
      <c r="L11" s="1"/>
      <c r="M11" s="4" t="s">
        <v>11</v>
      </c>
      <c r="N11" s="32" t="str">
        <f>IFERROR((90*n)/100,"")</f>
        <v/>
      </c>
      <c r="O11" s="9" t="s">
        <v>14</v>
      </c>
      <c r="P11" s="43" t="str">
        <f>IFERROR(ROUND(PERCENTILE(DadosOrig,90%),nCasas),"")</f>
        <v/>
      </c>
      <c r="Q11" s="1"/>
    </row>
    <row r="12" spans="1:17" ht="20.25" customHeight="1" x14ac:dyDescent="0.25">
      <c r="A12" s="30" t="s">
        <v>27</v>
      </c>
      <c r="M12" s="24"/>
      <c r="N12" s="25"/>
      <c r="O12" s="25"/>
      <c r="P12" s="25"/>
    </row>
    <row r="13" spans="1:17" ht="21.75" customHeight="1" x14ac:dyDescent="0.25">
      <c r="A13" s="3" t="s">
        <v>24</v>
      </c>
      <c r="B13" s="54" t="s">
        <v>25</v>
      </c>
      <c r="C13" s="55"/>
      <c r="D13" s="48" t="s">
        <v>32</v>
      </c>
      <c r="E13" s="48" t="s">
        <v>33</v>
      </c>
      <c r="F13" s="49" t="s">
        <v>34</v>
      </c>
      <c r="G13" s="48" t="s">
        <v>35</v>
      </c>
      <c r="H13" s="48" t="s">
        <v>36</v>
      </c>
      <c r="M13" s="5" t="s">
        <v>15</v>
      </c>
      <c r="N13" s="6"/>
      <c r="O13" s="39" t="str">
        <f>IFERROR(ROUND(SQRT((xi2fi-((xifi^2)/n))/(n-1)),nCasas),"")</f>
        <v/>
      </c>
      <c r="P13" s="26"/>
    </row>
    <row r="14" spans="1:17" ht="20.25" customHeight="1" x14ac:dyDescent="0.25">
      <c r="A14" s="17">
        <v>1</v>
      </c>
      <c r="B14" s="40" t="str">
        <f>IFERROR(ROUND(MIN(DadosOrig),nCasas),"")</f>
        <v/>
      </c>
      <c r="C14" s="40" t="str">
        <f>IFERROR(ROUND(B14+h,nCasas),"")</f>
        <v/>
      </c>
      <c r="D14" s="40" t="str">
        <f t="shared" ref="D14:D33" si="0">IFERROR(ROUND(AVERAGE(B14:C14),nCasas),"")</f>
        <v/>
      </c>
      <c r="E14" s="14">
        <v>12</v>
      </c>
      <c r="F14" s="41" t="str">
        <f t="shared" ref="F14:F33" si="1">IFERROR(ROUND(D14*E14,nCasas),"")</f>
        <v/>
      </c>
      <c r="G14" s="40" t="str">
        <f t="shared" ref="G14:G33" si="2">IFERROR(ROUND(D14*F14,nCasas),"")</f>
        <v/>
      </c>
      <c r="H14" s="13">
        <f>IFERROR(E14,"")</f>
        <v>12</v>
      </c>
      <c r="M14" s="5" t="s">
        <v>19</v>
      </c>
      <c r="N14" s="12"/>
      <c r="O14" s="45" t="str">
        <f>IFERROR(ROUND((s/Media),nCasas+2),"")</f>
        <v/>
      </c>
      <c r="P14" s="27"/>
    </row>
    <row r="15" spans="1:17" ht="20.25" customHeight="1" x14ac:dyDescent="0.25">
      <c r="A15" s="17" t="str">
        <f t="shared" ref="A15:A32" si="3">IFERROR(IF(k&gt;A14,A14+1,""),"")</f>
        <v/>
      </c>
      <c r="B15" s="40" t="str">
        <f t="shared" ref="B15:B33" si="4">IFERROR(IF(k&gt;=A15,ROUND(C14,nCasas),""),"")</f>
        <v/>
      </c>
      <c r="C15" s="40" t="str">
        <f>IFERROR(ROUND(B15+h,nCasas),"")</f>
        <v/>
      </c>
      <c r="D15" s="40" t="str">
        <f t="shared" si="0"/>
        <v/>
      </c>
      <c r="E15" s="14">
        <v>13</v>
      </c>
      <c r="F15" s="41" t="str">
        <f t="shared" si="1"/>
        <v/>
      </c>
      <c r="G15" s="40" t="str">
        <f t="shared" si="2"/>
        <v/>
      </c>
      <c r="H15" s="13">
        <f>IFERROR(IF(E15="","",H14+E15),"")</f>
        <v>25</v>
      </c>
      <c r="M15" s="5" t="s">
        <v>18</v>
      </c>
      <c r="N15" s="12"/>
      <c r="O15" s="39" t="str">
        <f>IFERROR(ROUND(3*(Media-Md)/s,nCasas),"")</f>
        <v/>
      </c>
      <c r="P15" s="33" t="str">
        <f>IFERROR(IF(CoefAssim&lt;0,"Negativa",IF(CoefAssim&gt;0,"Positiva",IF(CoefAssim=0,"Simétrica"))),"")</f>
        <v/>
      </c>
    </row>
    <row r="16" spans="1:17" ht="20.25" customHeight="1" x14ac:dyDescent="0.25">
      <c r="A16" s="17" t="str">
        <f t="shared" si="3"/>
        <v/>
      </c>
      <c r="B16" s="40" t="str">
        <f t="shared" si="4"/>
        <v/>
      </c>
      <c r="C16" s="40" t="str">
        <f t="shared" ref="C16:C33" si="5">IFERROR(B16+h,"")</f>
        <v/>
      </c>
      <c r="D16" s="40" t="str">
        <f t="shared" si="0"/>
        <v/>
      </c>
      <c r="E16" s="14">
        <v>7</v>
      </c>
      <c r="F16" s="41" t="str">
        <f t="shared" si="1"/>
        <v/>
      </c>
      <c r="G16" s="40" t="str">
        <f t="shared" si="2"/>
        <v/>
      </c>
      <c r="H16" s="13">
        <f t="shared" ref="H16:H33" si="6">IFERROR(IF(E16="","",H15+E16),"")</f>
        <v>32</v>
      </c>
      <c r="M16" s="5" t="s">
        <v>20</v>
      </c>
      <c r="N16" s="12"/>
      <c r="O16" s="44" t="str">
        <f>IFERROR(ROUND((TercQuartil-PrimQuartil)/(2*(NonaPercentil-DecPercentil)),nCasas),"")</f>
        <v/>
      </c>
      <c r="P16" s="36" t="str">
        <f>IFERROR(IF(CC&lt;0.263,"Leptocúrtica",IF(CC&gt;0.263,"Platicúrtica","Mesocúrtica")),"")</f>
        <v/>
      </c>
    </row>
    <row r="17" spans="1:15" ht="20.25" customHeight="1" x14ac:dyDescent="0.25">
      <c r="A17" s="17" t="str">
        <f t="shared" si="3"/>
        <v/>
      </c>
      <c r="B17" s="40" t="str">
        <f t="shared" si="4"/>
        <v/>
      </c>
      <c r="C17" s="40" t="str">
        <f t="shared" si="5"/>
        <v/>
      </c>
      <c r="D17" s="40" t="str">
        <f t="shared" si="0"/>
        <v/>
      </c>
      <c r="E17" s="14">
        <v>17</v>
      </c>
      <c r="F17" s="41" t="str">
        <f t="shared" si="1"/>
        <v/>
      </c>
      <c r="G17" s="40" t="str">
        <f t="shared" si="2"/>
        <v/>
      </c>
      <c r="H17" s="13">
        <f t="shared" si="6"/>
        <v>49</v>
      </c>
      <c r="O17" s="1"/>
    </row>
    <row r="18" spans="1:15" ht="20.25" customHeight="1" x14ac:dyDescent="0.25">
      <c r="A18" s="17" t="str">
        <f t="shared" si="3"/>
        <v/>
      </c>
      <c r="B18" s="40" t="str">
        <f t="shared" si="4"/>
        <v/>
      </c>
      <c r="C18" s="40" t="str">
        <f t="shared" si="5"/>
        <v/>
      </c>
      <c r="D18" s="40" t="str">
        <f t="shared" si="0"/>
        <v/>
      </c>
      <c r="E18" s="14">
        <v>4</v>
      </c>
      <c r="F18" s="41" t="str">
        <f t="shared" si="1"/>
        <v/>
      </c>
      <c r="G18" s="40" t="str">
        <f t="shared" si="2"/>
        <v/>
      </c>
      <c r="H18" s="13">
        <f t="shared" si="6"/>
        <v>53</v>
      </c>
      <c r="J18" s="37"/>
      <c r="O18" s="1"/>
    </row>
    <row r="19" spans="1:15" ht="20.25" customHeight="1" x14ac:dyDescent="0.25">
      <c r="A19" s="17" t="str">
        <f t="shared" si="3"/>
        <v/>
      </c>
      <c r="B19" s="40" t="str">
        <f t="shared" si="4"/>
        <v/>
      </c>
      <c r="C19" s="40" t="str">
        <f t="shared" si="5"/>
        <v/>
      </c>
      <c r="D19" s="40" t="str">
        <f t="shared" si="0"/>
        <v/>
      </c>
      <c r="E19" s="14">
        <v>0</v>
      </c>
      <c r="F19" s="41" t="str">
        <f t="shared" si="1"/>
        <v/>
      </c>
      <c r="G19" s="40" t="str">
        <f t="shared" si="2"/>
        <v/>
      </c>
      <c r="H19" s="13">
        <f t="shared" si="6"/>
        <v>53</v>
      </c>
      <c r="J19"/>
      <c r="O19" s="1"/>
    </row>
    <row r="20" spans="1:15" ht="20.25" customHeight="1" x14ac:dyDescent="0.25">
      <c r="A20" s="17" t="str">
        <f t="shared" si="3"/>
        <v/>
      </c>
      <c r="B20" s="40" t="str">
        <f t="shared" si="4"/>
        <v/>
      </c>
      <c r="C20" s="40" t="str">
        <f t="shared" si="5"/>
        <v/>
      </c>
      <c r="D20" s="40" t="str">
        <f t="shared" si="0"/>
        <v/>
      </c>
      <c r="E20" s="13">
        <v>2</v>
      </c>
      <c r="F20" s="41" t="str">
        <f t="shared" si="1"/>
        <v/>
      </c>
      <c r="G20" s="40" t="str">
        <f t="shared" si="2"/>
        <v/>
      </c>
      <c r="H20" s="13">
        <f t="shared" si="6"/>
        <v>55</v>
      </c>
      <c r="O20" s="1"/>
    </row>
    <row r="21" spans="1:15" ht="20.25" hidden="1" customHeight="1" x14ac:dyDescent="0.25">
      <c r="A21" s="17" t="str">
        <f t="shared" si="3"/>
        <v/>
      </c>
      <c r="B21" s="40" t="str">
        <f t="shared" si="4"/>
        <v/>
      </c>
      <c r="C21" s="40" t="str">
        <f t="shared" si="5"/>
        <v/>
      </c>
      <c r="D21" s="40" t="str">
        <f t="shared" si="0"/>
        <v/>
      </c>
      <c r="E21" s="13"/>
      <c r="F21" s="41" t="str">
        <f t="shared" si="1"/>
        <v/>
      </c>
      <c r="G21" s="40" t="str">
        <f t="shared" si="2"/>
        <v/>
      </c>
      <c r="H21" s="13" t="str">
        <f t="shared" si="6"/>
        <v/>
      </c>
      <c r="M21" s="2" t="s">
        <v>29</v>
      </c>
      <c r="O21" s="1"/>
    </row>
    <row r="22" spans="1:15" ht="20.25" hidden="1" customHeight="1" x14ac:dyDescent="0.25">
      <c r="A22" s="17" t="str">
        <f t="shared" si="3"/>
        <v/>
      </c>
      <c r="B22" s="40" t="str">
        <f t="shared" si="4"/>
        <v/>
      </c>
      <c r="C22" s="40" t="str">
        <f t="shared" si="5"/>
        <v/>
      </c>
      <c r="D22" s="40" t="str">
        <f t="shared" si="0"/>
        <v/>
      </c>
      <c r="E22" s="13"/>
      <c r="F22" s="41" t="str">
        <f t="shared" si="1"/>
        <v/>
      </c>
      <c r="G22" s="40" t="str">
        <f t="shared" si="2"/>
        <v/>
      </c>
      <c r="H22" s="13" t="str">
        <f t="shared" si="6"/>
        <v/>
      </c>
      <c r="O22" s="1"/>
    </row>
    <row r="23" spans="1:15" ht="20.25" hidden="1" customHeight="1" x14ac:dyDescent="0.25">
      <c r="A23" s="17" t="str">
        <f t="shared" si="3"/>
        <v/>
      </c>
      <c r="B23" s="40" t="str">
        <f t="shared" si="4"/>
        <v/>
      </c>
      <c r="C23" s="40" t="str">
        <f t="shared" si="5"/>
        <v/>
      </c>
      <c r="D23" s="40" t="str">
        <f t="shared" si="0"/>
        <v/>
      </c>
      <c r="E23" s="13"/>
      <c r="F23" s="41" t="str">
        <f t="shared" si="1"/>
        <v/>
      </c>
      <c r="G23" s="40" t="str">
        <f t="shared" si="2"/>
        <v/>
      </c>
      <c r="H23" s="13" t="str">
        <f t="shared" si="6"/>
        <v/>
      </c>
      <c r="O23" s="1"/>
    </row>
    <row r="24" spans="1:15" ht="20.25" hidden="1" customHeight="1" x14ac:dyDescent="0.25">
      <c r="A24" s="17" t="str">
        <f t="shared" si="3"/>
        <v/>
      </c>
      <c r="B24" s="40" t="str">
        <f t="shared" si="4"/>
        <v/>
      </c>
      <c r="C24" s="40" t="str">
        <f t="shared" si="5"/>
        <v/>
      </c>
      <c r="D24" s="40" t="str">
        <f t="shared" si="0"/>
        <v/>
      </c>
      <c r="E24" s="13"/>
      <c r="F24" s="41" t="str">
        <f t="shared" si="1"/>
        <v/>
      </c>
      <c r="G24" s="40" t="str">
        <f t="shared" si="2"/>
        <v/>
      </c>
      <c r="H24" s="13" t="str">
        <f t="shared" si="6"/>
        <v/>
      </c>
      <c r="O24" s="1"/>
    </row>
    <row r="25" spans="1:15" ht="20.25" hidden="1" customHeight="1" x14ac:dyDescent="0.25">
      <c r="A25" s="17" t="str">
        <f t="shared" si="3"/>
        <v/>
      </c>
      <c r="B25" s="40" t="str">
        <f t="shared" si="4"/>
        <v/>
      </c>
      <c r="C25" s="40" t="str">
        <f t="shared" si="5"/>
        <v/>
      </c>
      <c r="D25" s="40" t="str">
        <f t="shared" si="0"/>
        <v/>
      </c>
      <c r="E25" s="13"/>
      <c r="F25" s="41" t="str">
        <f t="shared" si="1"/>
        <v/>
      </c>
      <c r="G25" s="40" t="str">
        <f t="shared" si="2"/>
        <v/>
      </c>
      <c r="H25" s="13" t="str">
        <f t="shared" si="6"/>
        <v/>
      </c>
      <c r="O25" s="1"/>
    </row>
    <row r="26" spans="1:15" ht="20.25" hidden="1" customHeight="1" x14ac:dyDescent="0.25">
      <c r="A26" s="17" t="str">
        <f t="shared" si="3"/>
        <v/>
      </c>
      <c r="B26" s="40" t="str">
        <f t="shared" si="4"/>
        <v/>
      </c>
      <c r="C26" s="40" t="str">
        <f t="shared" si="5"/>
        <v/>
      </c>
      <c r="D26" s="40" t="str">
        <f t="shared" si="0"/>
        <v/>
      </c>
      <c r="E26" s="13"/>
      <c r="F26" s="41" t="str">
        <f t="shared" si="1"/>
        <v/>
      </c>
      <c r="G26" s="40" t="str">
        <f t="shared" si="2"/>
        <v/>
      </c>
      <c r="H26" s="13" t="str">
        <f t="shared" si="6"/>
        <v/>
      </c>
      <c r="O26" s="1"/>
    </row>
    <row r="27" spans="1:15" ht="20.25" hidden="1" customHeight="1" x14ac:dyDescent="0.25">
      <c r="A27" s="17" t="str">
        <f t="shared" si="3"/>
        <v/>
      </c>
      <c r="B27" s="40" t="str">
        <f t="shared" si="4"/>
        <v/>
      </c>
      <c r="C27" s="40" t="str">
        <f t="shared" si="5"/>
        <v/>
      </c>
      <c r="D27" s="40" t="str">
        <f t="shared" si="0"/>
        <v/>
      </c>
      <c r="E27" s="13"/>
      <c r="F27" s="41" t="str">
        <f t="shared" si="1"/>
        <v/>
      </c>
      <c r="G27" s="40" t="str">
        <f t="shared" si="2"/>
        <v/>
      </c>
      <c r="H27" s="13" t="str">
        <f t="shared" si="6"/>
        <v/>
      </c>
      <c r="M27" s="1"/>
      <c r="N27" s="1"/>
      <c r="O27" s="1"/>
    </row>
    <row r="28" spans="1:15" ht="20.25" hidden="1" customHeight="1" x14ac:dyDescent="0.25">
      <c r="A28" s="17" t="str">
        <f t="shared" si="3"/>
        <v/>
      </c>
      <c r="B28" s="40" t="str">
        <f t="shared" si="4"/>
        <v/>
      </c>
      <c r="C28" s="40" t="str">
        <f t="shared" si="5"/>
        <v/>
      </c>
      <c r="D28" s="40" t="str">
        <f t="shared" si="0"/>
        <v/>
      </c>
      <c r="E28" s="13"/>
      <c r="F28" s="41" t="str">
        <f t="shared" si="1"/>
        <v/>
      </c>
      <c r="G28" s="40" t="str">
        <f t="shared" si="2"/>
        <v/>
      </c>
      <c r="H28" s="13" t="str">
        <f t="shared" si="6"/>
        <v/>
      </c>
    </row>
    <row r="29" spans="1:15" ht="20.25" hidden="1" customHeight="1" x14ac:dyDescent="0.25">
      <c r="A29" s="17" t="str">
        <f t="shared" si="3"/>
        <v/>
      </c>
      <c r="B29" s="40" t="str">
        <f t="shared" si="4"/>
        <v/>
      </c>
      <c r="C29" s="40" t="str">
        <f t="shared" si="5"/>
        <v/>
      </c>
      <c r="D29" s="40" t="str">
        <f t="shared" si="0"/>
        <v/>
      </c>
      <c r="E29" s="13"/>
      <c r="F29" s="41" t="str">
        <f t="shared" si="1"/>
        <v/>
      </c>
      <c r="G29" s="40" t="str">
        <f t="shared" si="2"/>
        <v/>
      </c>
      <c r="H29" s="13" t="str">
        <f t="shared" si="6"/>
        <v/>
      </c>
    </row>
    <row r="30" spans="1:15" ht="20.25" hidden="1" customHeight="1" x14ac:dyDescent="0.25">
      <c r="A30" s="17" t="str">
        <f t="shared" si="3"/>
        <v/>
      </c>
      <c r="B30" s="40" t="str">
        <f t="shared" si="4"/>
        <v/>
      </c>
      <c r="C30" s="40" t="str">
        <f t="shared" si="5"/>
        <v/>
      </c>
      <c r="D30" s="40" t="str">
        <f t="shared" si="0"/>
        <v/>
      </c>
      <c r="E30" s="13"/>
      <c r="F30" s="41" t="str">
        <f t="shared" si="1"/>
        <v/>
      </c>
      <c r="G30" s="40" t="str">
        <f t="shared" si="2"/>
        <v/>
      </c>
      <c r="H30" s="13" t="str">
        <f t="shared" si="6"/>
        <v/>
      </c>
      <c r="I30" s="1"/>
      <c r="J30" s="1"/>
      <c r="K30" s="1"/>
    </row>
    <row r="31" spans="1:15" ht="20.25" hidden="1" customHeight="1" x14ac:dyDescent="0.25">
      <c r="A31" s="17" t="str">
        <f t="shared" si="3"/>
        <v/>
      </c>
      <c r="B31" s="40" t="str">
        <f t="shared" si="4"/>
        <v/>
      </c>
      <c r="C31" s="40" t="str">
        <f t="shared" si="5"/>
        <v/>
      </c>
      <c r="D31" s="40" t="str">
        <f t="shared" si="0"/>
        <v/>
      </c>
      <c r="E31" s="13"/>
      <c r="F31" s="41" t="str">
        <f t="shared" si="1"/>
        <v/>
      </c>
      <c r="G31" s="40" t="str">
        <f t="shared" si="2"/>
        <v/>
      </c>
      <c r="H31" s="13" t="str">
        <f t="shared" si="6"/>
        <v/>
      </c>
      <c r="L31" s="1"/>
    </row>
    <row r="32" spans="1:15" ht="20.25" hidden="1" customHeight="1" x14ac:dyDescent="0.25">
      <c r="A32" s="17" t="str">
        <f t="shared" si="3"/>
        <v/>
      </c>
      <c r="B32" s="40" t="str">
        <f t="shared" si="4"/>
        <v/>
      </c>
      <c r="C32" s="40" t="str">
        <f t="shared" si="5"/>
        <v/>
      </c>
      <c r="D32" s="40" t="str">
        <f t="shared" si="0"/>
        <v/>
      </c>
      <c r="E32" s="13"/>
      <c r="F32" s="41" t="str">
        <f t="shared" si="1"/>
        <v/>
      </c>
      <c r="G32" s="40" t="str">
        <f t="shared" si="2"/>
        <v/>
      </c>
      <c r="H32" s="13" t="str">
        <f t="shared" si="6"/>
        <v/>
      </c>
      <c r="L32" s="1"/>
    </row>
    <row r="33" spans="1:8" ht="20.25" hidden="1" customHeight="1" x14ac:dyDescent="0.25">
      <c r="A33" s="17" t="str">
        <f>IFERROR(IF(k&gt;A32,A32+1,""),"")</f>
        <v/>
      </c>
      <c r="B33" s="40" t="str">
        <f t="shared" si="4"/>
        <v/>
      </c>
      <c r="C33" s="40" t="str">
        <f t="shared" si="5"/>
        <v/>
      </c>
      <c r="D33" s="40" t="str">
        <f t="shared" si="0"/>
        <v/>
      </c>
      <c r="E33" s="13"/>
      <c r="F33" s="41" t="str">
        <f t="shared" si="1"/>
        <v/>
      </c>
      <c r="G33" s="40" t="str">
        <f t="shared" si="2"/>
        <v/>
      </c>
      <c r="H33" s="13" t="str">
        <f t="shared" si="6"/>
        <v/>
      </c>
    </row>
    <row r="34" spans="1:8" ht="20.25" customHeight="1" x14ac:dyDescent="0.25">
      <c r="A34" s="19"/>
      <c r="B34" s="19"/>
      <c r="C34" s="19"/>
      <c r="D34" s="20" t="s">
        <v>26</v>
      </c>
      <c r="E34" s="11" t="e">
        <f>SUM(Tab_fi)</f>
        <v>#NAME?</v>
      </c>
      <c r="F34" s="42" t="str">
        <f>IFERROR(ROUND(SUM(F14:F33),nCasas),"")</f>
        <v/>
      </c>
      <c r="G34" s="42" t="str">
        <f>IFERROR(ROUND(SUM(G14:G33),nCasas),"")</f>
        <v/>
      </c>
      <c r="H34"/>
    </row>
    <row r="35" spans="1:8" ht="20.25" customHeight="1" x14ac:dyDescent="0.25"/>
    <row r="36" spans="1:8" ht="20.25" hidden="1" customHeight="1" outlineLevel="1" x14ac:dyDescent="0.25">
      <c r="A36" s="13" t="str">
        <f>IFERROR(ROWS(DadosOrig),"")</f>
        <v/>
      </c>
      <c r="B36"/>
      <c r="C36"/>
      <c r="D36"/>
      <c r="E36"/>
    </row>
    <row r="37" spans="1:8" ht="20.25" hidden="1" customHeight="1" outlineLevel="1" x14ac:dyDescent="0.25">
      <c r="A37" s="13" t="str">
        <f>IFERROR(COLUMNS(DadosOrig),"")</f>
        <v/>
      </c>
      <c r="B37"/>
      <c r="C37"/>
      <c r="D37"/>
      <c r="E37"/>
    </row>
    <row r="38" spans="1:8" ht="20.25" hidden="1" customHeight="1" outlineLevel="1" x14ac:dyDescent="0.25">
      <c r="A38" s="22">
        <f>IFERROR(COUNT(DadosOrig),"")</f>
        <v>0</v>
      </c>
      <c r="B38"/>
      <c r="C38"/>
      <c r="D38"/>
      <c r="E38"/>
    </row>
    <row r="39" spans="1:8" ht="20.25" hidden="1" customHeight="1" outlineLevel="1" x14ac:dyDescent="0.25">
      <c r="A39" s="35" t="s">
        <v>28</v>
      </c>
    </row>
    <row r="40" spans="1:8" ht="20.25" customHeight="1" collapsed="1" x14ac:dyDescent="0.25"/>
    <row r="41" spans="1:8" ht="20.25" customHeight="1" x14ac:dyDescent="0.25"/>
    <row r="42" spans="1:8" ht="20.25" customHeight="1" x14ac:dyDescent="0.25"/>
    <row r="43" spans="1:8" ht="20.25" customHeight="1" x14ac:dyDescent="0.25"/>
    <row r="44" spans="1:8" ht="20.25" customHeight="1" x14ac:dyDescent="0.25"/>
    <row r="45" spans="1:8" ht="20.25" customHeight="1" x14ac:dyDescent="0.25"/>
    <row r="46" spans="1:8" ht="20.25" customHeight="1" x14ac:dyDescent="0.25"/>
    <row r="47" spans="1:8" ht="20.25" customHeight="1" x14ac:dyDescent="0.25"/>
    <row r="48" spans="1:8" ht="20.25" customHeight="1" x14ac:dyDescent="0.25"/>
    <row r="49" ht="20.25" customHeight="1" x14ac:dyDescent="0.25"/>
    <row r="50" ht="20.25" customHeight="1" x14ac:dyDescent="0.25"/>
    <row r="51" ht="20.25" customHeight="1" x14ac:dyDescent="0.25"/>
    <row r="52" ht="20.25" customHeight="1" x14ac:dyDescent="0.25"/>
    <row r="53" ht="20.25" customHeight="1" x14ac:dyDescent="0.25"/>
    <row r="54" ht="20.25" customHeight="1" x14ac:dyDescent="0.25"/>
    <row r="55" ht="20.25" customHeight="1" x14ac:dyDescent="0.25"/>
    <row r="56" ht="20.25" customHeight="1" x14ac:dyDescent="0.25"/>
    <row r="57" ht="20.25" customHeight="1" x14ac:dyDescent="0.25"/>
    <row r="58" ht="20.25" customHeight="1" x14ac:dyDescent="0.25"/>
    <row r="59" ht="20.25" customHeight="1" x14ac:dyDescent="0.25"/>
    <row r="60" ht="20.25" customHeight="1" x14ac:dyDescent="0.25"/>
  </sheetData>
  <sheetProtection sheet="1" objects="1" scenarios="1"/>
  <mergeCells count="5">
    <mergeCell ref="M4:N4"/>
    <mergeCell ref="O4:P4"/>
    <mergeCell ref="M9:N9"/>
    <mergeCell ref="O9:P9"/>
    <mergeCell ref="B13:C13"/>
  </mergeCells>
  <pageMargins left="0.31496062992125984" right="0.11811023622047245" top="0.39370078740157483" bottom="0.39370078740157483" header="0.31496062992125984" footer="0.23622047244094491"/>
  <pageSetup scale="71" orientation="landscape" horizontalDpi="300" r:id="rId1"/>
  <headerFooter alignWithMargins="0">
    <oddFooter>&amp;RExercicio 03
Adriano Bortoloto
&amp;D  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Adriano Bortoloto</cp:lastModifiedBy>
  <cp:lastPrinted>2011-11-01T17:39:00Z</cp:lastPrinted>
  <dcterms:created xsi:type="dcterms:W3CDTF">2011-09-13T23:47:31Z</dcterms:created>
  <dcterms:modified xsi:type="dcterms:W3CDTF">2015-09-11T18:26:26Z</dcterms:modified>
</cp:coreProperties>
</file>