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20" yWindow="120" windowWidth="15480" windowHeight="6855"/>
  </bookViews>
  <sheets>
    <sheet name="Ex01" sheetId="4" r:id="rId1"/>
  </sheets>
  <definedNames>
    <definedName name="CoefAssim">'Ex01'!$F$11</definedName>
    <definedName name="CoefVar">'Ex01'!$F$10</definedName>
    <definedName name="DadosClass">'Ex01'!$E$3:$P$3</definedName>
    <definedName name="DadosClassif2">'Ex01'!$E$4:$P$4</definedName>
    <definedName name="DadosGrafico">'Ex01'!$G$15:$G$21</definedName>
    <definedName name="DadosOrig">'Ex01'!$B$3:$B$14</definedName>
    <definedName name="DesvPad">'Ex01'!$F$9</definedName>
    <definedName name="Dq">'Ex01'!$N$8</definedName>
    <definedName name="L.Inf">'Ex01'!$N$10</definedName>
    <definedName name="L.Sup">'Ex01'!$N$9</definedName>
    <definedName name="Max">'Ex01'!$G$19</definedName>
    <definedName name="Md">'Ex01'!$J$9</definedName>
    <definedName name="Media">'Ex01'!$F$6</definedName>
    <definedName name="Min">'Ex01'!$G$15</definedName>
    <definedName name="Mo">'Ex01'!$F$7</definedName>
    <definedName name="n">'Ex01'!$Q$2</definedName>
    <definedName name="nCasas">'Ex01'!$B$16</definedName>
    <definedName name="Pos_1q">'Ex01'!$I$8</definedName>
    <definedName name="Pos_3q">'Ex01'!$I$10</definedName>
    <definedName name="Pos_Md">'Ex01'!$I$9</definedName>
    <definedName name="PrimQuartil">'Ex01'!$J$8</definedName>
    <definedName name="Separatrizes">'Ex01'!$J$8:$J$10</definedName>
    <definedName name="Somat_xi">'Ex01'!$Q$3</definedName>
    <definedName name="Somat_xi2">'Ex01'!$Q$4</definedName>
    <definedName name="Tab">'Ex01'!$E$2:$P$3</definedName>
    <definedName name="TercQuartil">'Ex01'!$J$10</definedName>
  </definedNames>
  <calcPr calcId="145621"/>
</workbook>
</file>

<file path=xl/calcChain.xml><?xml version="1.0" encoding="utf-8"?>
<calcChain xmlns="http://schemas.openxmlformats.org/spreadsheetml/2006/main">
  <c r="G15" i="4" l="1"/>
  <c r="G19" i="4"/>
  <c r="F4" i="4"/>
  <c r="G4" i="4"/>
  <c r="H4" i="4"/>
  <c r="I4" i="4"/>
  <c r="J4" i="4"/>
  <c r="K4" i="4"/>
  <c r="L4" i="4"/>
  <c r="M4" i="4"/>
  <c r="N4" i="4"/>
  <c r="O4" i="4"/>
  <c r="P4" i="4"/>
  <c r="E4" i="4"/>
  <c r="F2" i="4"/>
  <c r="F7" i="4" l="1"/>
  <c r="O19" i="4" s="1"/>
  <c r="Q3" i="4"/>
  <c r="O15" i="4" s="1"/>
  <c r="G2" i="4"/>
  <c r="H2" i="4" s="1"/>
  <c r="I2" i="4" s="1"/>
  <c r="J2" i="4" s="1"/>
  <c r="K2" i="4" s="1"/>
  <c r="L2" i="4" s="1"/>
  <c r="M2" i="4" s="1"/>
  <c r="N2" i="4" s="1"/>
  <c r="O2" i="4" s="1"/>
  <c r="P2" i="4" s="1"/>
  <c r="Q4" i="4"/>
  <c r="Q2" i="4" l="1"/>
  <c r="F9" i="4" s="1"/>
  <c r="F6" i="4" l="1"/>
  <c r="O17" i="4" s="1"/>
  <c r="I10" i="4"/>
  <c r="J10" i="4" s="1"/>
  <c r="P25" i="4" s="1"/>
  <c r="I9" i="4"/>
  <c r="J9" i="4" s="1"/>
  <c r="I8" i="4"/>
  <c r="J8" i="4" s="1"/>
  <c r="P24" i="4" l="1"/>
  <c r="P23" i="4"/>
  <c r="P22" i="4"/>
  <c r="F10" i="4"/>
  <c r="F11" i="4"/>
  <c r="G11" i="4" s="1"/>
  <c r="G17" i="4"/>
  <c r="N8" i="4" l="1"/>
  <c r="N9" i="4" s="1"/>
  <c r="G20" i="4" s="1"/>
  <c r="G18" i="4"/>
  <c r="G16" i="4"/>
  <c r="N10" i="4" l="1"/>
  <c r="G21" i="4" s="1"/>
</calcChain>
</file>

<file path=xl/sharedStrings.xml><?xml version="1.0" encoding="utf-8"?>
<sst xmlns="http://schemas.openxmlformats.org/spreadsheetml/2006/main" count="47" uniqueCount="44">
  <si>
    <t>Moda:</t>
  </si>
  <si>
    <t>X</t>
  </si>
  <si>
    <t>Mín</t>
  </si>
  <si>
    <t>Máx</t>
  </si>
  <si>
    <t>1q</t>
  </si>
  <si>
    <t>3q</t>
  </si>
  <si>
    <t>Pos</t>
  </si>
  <si>
    <t>Valor</t>
  </si>
  <si>
    <t>Md</t>
  </si>
  <si>
    <t>L.S.</t>
  </si>
  <si>
    <t>L.I.</t>
  </si>
  <si>
    <t>Desvio Padrão:</t>
  </si>
  <si>
    <t>Coeficiente de Variação:</t>
  </si>
  <si>
    <t>Coeficiente de Assimetria:</t>
  </si>
  <si>
    <t>Distância entre Quartis:</t>
  </si>
  <si>
    <t>Mês</t>
  </si>
  <si>
    <t>Dados Box Plot</t>
  </si>
  <si>
    <t>Dados classificados</t>
  </si>
  <si>
    <t>Fix: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</si>
  <si>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</si>
  <si>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</si>
  <si>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</si>
  <si>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</si>
  <si>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</si>
  <si>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</si>
  <si>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</si>
  <si>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</si>
  <si>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</si>
  <si>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</si>
  <si>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</si>
  <si>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</si>
  <si>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Média:</t>
  </si>
  <si>
    <t>L. Superior:</t>
  </si>
  <si>
    <t>L. Inferior:</t>
  </si>
  <si>
    <t>SEPARATRIZES:</t>
  </si>
  <si>
    <t>Pos.</t>
  </si>
  <si>
    <t>Número de acessos às redes sociais no Brasil em 2010</t>
  </si>
  <si>
    <t>Média mensal de acessos:</t>
  </si>
  <si>
    <t>Total de acessos:</t>
  </si>
  <si>
    <t>Classificação da quantidade de acessos:</t>
  </si>
  <si>
    <t>Maior incidência:</t>
  </si>
  <si>
    <t xml:space="preserve">x </t>
  </si>
  <si>
    <t>x Acessos (milhões)</t>
  </si>
  <si>
    <r>
      <t>x</t>
    </r>
    <r>
      <rPr>
        <b/>
        <vertAlign val="superscript"/>
        <sz val="12"/>
        <color rgb="FFC00000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</si>
</sst>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\°"/>
    <numFmt numFmtId="165" formatCode="0.0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Arial"/>
      <family val="2"/>
    </font>
    <font>
      <b/>
      <sz val="9"/>
      <color theme="1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b/>
      <sz val="10"/>
      <color theme="3" tint="0.39997558519241921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1"/>
      <color theme="0"/>
      <name val="Arial"/>
      <family val="2"/>
    </font>
    <font>
      <b/>
      <u/>
      <sz val="12"/>
      <color rgb="FFC00000"/>
      <name val="Arial"/>
      <family val="2"/>
    </font>
    <font>
      <b/>
      <sz val="12"/>
      <color rgb="FFC00000"/>
      <name val="Arial"/>
      <family val="2"/>
    </font>
    <font>
      <b/>
      <vertAlign val="superscript"/>
      <sz val="12"/>
      <color rgb="FFC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61">
    <xf numFmtId="0" fontId="0" fillId="0" borderId="0" xfId="0"/>
    <xf numFmtId="0" fontId="2" fillId="0" borderId="0" xfId="1" applyFont="1" applyAlignment="1" applyProtection="1">
      <alignment horizontal="center"/>
    </xf>
    <xf numFmtId="0" fontId="2" fillId="0" borderId="0" xfId="1" applyFont="1" applyAlignment="1" applyProtection="1">
      <alignment vertical="center"/>
    </xf>
    <xf numFmtId="164" fontId="5" fillId="4" borderId="2" xfId="1" applyNumberFormat="1" applyFont="1" applyFill="1" applyBorder="1" applyAlignment="1" applyProtection="1">
      <alignment horizontal="center" vertical="center"/>
    </xf>
    <xf numFmtId="0" fontId="2" fillId="0" borderId="0" xfId="1" applyFont="1" applyBorder="1" applyAlignment="1" applyProtection="1">
      <alignment horizontal="right" vertical="center"/>
    </xf>
    <xf numFmtId="0" fontId="1" fillId="0" borderId="0" xfId="1" applyFont="1" applyProtection="1"/>
    <xf numFmtId="0" fontId="7" fillId="0" borderId="0" xfId="0" applyFont="1" applyAlignment="1" applyProtection="1"/>
    <xf numFmtId="0" fontId="8" fillId="0" borderId="0" xfId="0" applyFont="1" applyProtection="1"/>
    <xf numFmtId="0" fontId="9" fillId="5" borderId="2" xfId="0" applyFont="1" applyFill="1" applyBorder="1" applyAlignment="1" applyProtection="1">
      <alignment horizontal="center" vertical="center"/>
    </xf>
    <xf numFmtId="0" fontId="9" fillId="5" borderId="2" xfId="0" applyFont="1" applyFill="1" applyBorder="1" applyAlignment="1" applyProtection="1">
      <alignment horizontal="center" vertical="center" wrapText="1"/>
    </xf>
    <xf numFmtId="164" fontId="10" fillId="2" borderId="2" xfId="1" applyNumberFormat="1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0" fontId="1" fillId="0" borderId="0" xfId="1" applyFont="1" applyAlignment="1" applyProtection="1">
      <alignment vertical="center"/>
    </xf>
    <xf numFmtId="0" fontId="1" fillId="0" borderId="0" xfId="1" applyFont="1" applyBorder="1" applyAlignment="1" applyProtection="1">
      <alignment vertical="center"/>
    </xf>
    <xf numFmtId="0" fontId="1" fillId="2" borderId="1" xfId="1" applyFont="1" applyFill="1" applyBorder="1" applyAlignment="1" applyProtection="1">
      <alignment horizontal="center" vertical="center"/>
    </xf>
    <xf numFmtId="0" fontId="1" fillId="2" borderId="4" xfId="1" applyFont="1" applyFill="1" applyBorder="1" applyAlignment="1" applyProtection="1">
      <alignment horizontal="center" vertical="center"/>
    </xf>
    <xf numFmtId="0" fontId="14" fillId="2" borderId="5" xfId="1" applyFont="1" applyFill="1" applyBorder="1" applyAlignment="1" applyProtection="1">
      <alignment horizontal="center" vertical="center"/>
    </xf>
    <xf numFmtId="0" fontId="14" fillId="2" borderId="6" xfId="1" applyFont="1" applyFill="1" applyBorder="1" applyAlignment="1" applyProtection="1">
      <alignment horizontal="center" vertical="center"/>
    </xf>
    <xf numFmtId="0" fontId="14" fillId="2" borderId="7" xfId="1" applyFont="1" applyFill="1" applyBorder="1" applyAlignment="1" applyProtection="1">
      <alignment horizontal="center" vertical="center"/>
    </xf>
    <xf numFmtId="164" fontId="1" fillId="0" borderId="0" xfId="1" applyNumberFormat="1" applyFont="1" applyProtection="1"/>
    <xf numFmtId="2" fontId="1" fillId="0" borderId="0" xfId="1" applyNumberFormat="1" applyFont="1" applyProtection="1"/>
    <xf numFmtId="2" fontId="12" fillId="3" borderId="2" xfId="0" applyNumberFormat="1" applyFont="1" applyFill="1" applyBorder="1" applyAlignment="1" applyProtection="1">
      <alignment horizontal="center" vertical="center"/>
    </xf>
    <xf numFmtId="165" fontId="9" fillId="0" borderId="0" xfId="0" applyNumberFormat="1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1" fillId="0" borderId="0" xfId="1" applyFont="1" applyAlignment="1" applyProtection="1">
      <alignment horizontal="center" vertical="center"/>
    </xf>
    <xf numFmtId="164" fontId="1" fillId="0" borderId="0" xfId="1" applyNumberFormat="1" applyFont="1" applyAlignment="1" applyProtection="1">
      <alignment horizontal="center" vertical="center"/>
    </xf>
    <xf numFmtId="9" fontId="1" fillId="0" borderId="0" xfId="1" applyNumberFormat="1" applyFont="1" applyAlignment="1" applyProtection="1">
      <alignment horizontal="center" vertical="center"/>
    </xf>
    <xf numFmtId="9" fontId="8" fillId="0" borderId="0" xfId="2" applyFont="1" applyAlignment="1" applyProtection="1">
      <alignment horizontal="center" vertical="center"/>
    </xf>
    <xf numFmtId="0" fontId="1" fillId="0" borderId="0" xfId="1" applyFont="1" applyBorder="1" applyProtection="1"/>
    <xf numFmtId="0" fontId="16" fillId="0" borderId="0" xfId="1" applyFont="1" applyBorder="1" applyAlignment="1" applyProtection="1"/>
    <xf numFmtId="0" fontId="16" fillId="0" borderId="0" xfId="1" applyFont="1" applyAlignment="1" applyProtection="1"/>
    <xf numFmtId="0" fontId="8" fillId="5" borderId="2" xfId="0" applyFont="1" applyFill="1" applyBorder="1" applyAlignment="1" applyProtection="1">
      <alignment horizontal="center" vertical="center"/>
    </xf>
    <xf numFmtId="165" fontId="12" fillId="6" borderId="2" xfId="0" applyNumberFormat="1" applyFont="1" applyFill="1" applyBorder="1" applyAlignment="1" applyProtection="1">
      <alignment horizontal="center" vertical="center"/>
    </xf>
    <xf numFmtId="1" fontId="11" fillId="6" borderId="2" xfId="0" applyNumberFormat="1" applyFont="1" applyFill="1" applyBorder="1" applyAlignment="1" applyProtection="1">
      <alignment horizontal="center" vertical="center"/>
    </xf>
    <xf numFmtId="2" fontId="13" fillId="6" borderId="2" xfId="0" applyNumberFormat="1" applyFont="1" applyFill="1" applyBorder="1" applyAlignment="1" applyProtection="1">
      <alignment horizontal="center" vertical="center"/>
    </xf>
    <xf numFmtId="165" fontId="13" fillId="6" borderId="2" xfId="0" applyNumberFormat="1" applyFont="1" applyFill="1" applyBorder="1" applyAlignment="1" applyProtection="1">
      <alignment horizontal="center" vertical="center"/>
    </xf>
    <xf numFmtId="2" fontId="5" fillId="6" borderId="2" xfId="1" applyNumberFormat="1" applyFont="1" applyFill="1" applyBorder="1" applyAlignment="1" applyProtection="1">
      <alignment horizontal="center" vertical="center"/>
    </xf>
    <xf numFmtId="10" fontId="5" fillId="6" borderId="2" xfId="2" applyNumberFormat="1" applyFont="1" applyFill="1" applyBorder="1" applyAlignment="1" applyProtection="1">
      <alignment horizontal="center" vertical="center"/>
    </xf>
    <xf numFmtId="0" fontId="6" fillId="6" borderId="2" xfId="1" applyFont="1" applyFill="1" applyBorder="1" applyAlignment="1" applyProtection="1">
      <alignment horizontal="left" vertical="center"/>
    </xf>
    <xf numFmtId="2" fontId="15" fillId="6" borderId="1" xfId="1" applyNumberFormat="1" applyFont="1" applyFill="1" applyBorder="1" applyAlignment="1" applyProtection="1">
      <alignment horizontal="center" vertical="center"/>
    </xf>
    <xf numFmtId="0" fontId="2" fillId="6" borderId="12" xfId="1" applyFont="1" applyFill="1" applyBorder="1" applyAlignment="1" applyProtection="1">
      <alignment horizontal="left" vertical="center"/>
    </xf>
    <xf numFmtId="0" fontId="1" fillId="6" borderId="13" xfId="1" applyFont="1" applyFill="1" applyBorder="1" applyProtection="1"/>
    <xf numFmtId="0" fontId="2" fillId="6" borderId="12" xfId="1" applyFont="1" applyFill="1" applyBorder="1" applyAlignment="1" applyProtection="1">
      <alignment vertical="center"/>
    </xf>
    <xf numFmtId="0" fontId="1" fillId="6" borderId="13" xfId="1" applyFont="1" applyFill="1" applyBorder="1" applyAlignment="1" applyProtection="1">
      <alignment vertical="center"/>
    </xf>
    <xf numFmtId="9" fontId="9" fillId="6" borderId="2" xfId="0" applyNumberFormat="1" applyFont="1" applyFill="1" applyBorder="1" applyAlignment="1" applyProtection="1">
      <alignment horizontal="left" vertical="center"/>
    </xf>
    <xf numFmtId="0" fontId="1" fillId="6" borderId="2" xfId="1" applyFont="1" applyFill="1" applyBorder="1" applyProtection="1"/>
    <xf numFmtId="9" fontId="14" fillId="2" borderId="2" xfId="1" applyNumberFormat="1" applyFont="1" applyFill="1" applyBorder="1" applyAlignment="1" applyProtection="1">
      <alignment horizontal="center" vertical="center"/>
    </xf>
    <xf numFmtId="0" fontId="17" fillId="0" borderId="0" xfId="0" applyFont="1" applyFill="1" applyAlignment="1" applyProtection="1">
      <alignment vertical="center"/>
    </xf>
    <xf numFmtId="0" fontId="18" fillId="0" borderId="0" xfId="0" applyFont="1" applyFill="1" applyProtection="1"/>
    <xf numFmtId="165" fontId="19" fillId="7" borderId="2" xfId="0" applyNumberFormat="1" applyFont="1" applyFill="1" applyBorder="1" applyAlignment="1" applyProtection="1">
      <alignment horizontal="center" vertical="center"/>
      <protection locked="0"/>
    </xf>
    <xf numFmtId="2" fontId="20" fillId="6" borderId="2" xfId="0" applyNumberFormat="1" applyFont="1" applyFill="1" applyBorder="1" applyAlignment="1" applyProtection="1">
      <alignment horizontal="center" vertical="center"/>
    </xf>
    <xf numFmtId="2" fontId="20" fillId="3" borderId="2" xfId="0" applyNumberFormat="1" applyFont="1" applyFill="1" applyBorder="1" applyAlignment="1" applyProtection="1">
      <alignment horizontal="center" vertical="center"/>
    </xf>
    <xf numFmtId="0" fontId="21" fillId="6" borderId="14" xfId="1" applyFont="1" applyFill="1" applyBorder="1" applyAlignment="1" applyProtection="1">
      <alignment horizontal="right" vertical="center"/>
    </xf>
    <xf numFmtId="0" fontId="21" fillId="3" borderId="14" xfId="1" applyFont="1" applyFill="1" applyBorder="1" applyAlignment="1" applyProtection="1">
      <alignment horizontal="right" vertical="center"/>
    </xf>
    <xf numFmtId="0" fontId="2" fillId="2" borderId="3" xfId="1" applyFont="1" applyFill="1" applyBorder="1" applyAlignment="1" applyProtection="1">
      <alignment horizontal="center" vertical="center"/>
    </xf>
    <xf numFmtId="0" fontId="2" fillId="2" borderId="8" xfId="1" applyFont="1" applyFill="1" applyBorder="1" applyAlignment="1" applyProtection="1">
      <alignment horizontal="center" vertical="center"/>
    </xf>
    <xf numFmtId="0" fontId="4" fillId="0" borderId="9" xfId="0" applyFont="1" applyBorder="1" applyAlignment="1" applyProtection="1">
      <alignment horizontal="center" vertical="center" wrapText="1"/>
    </xf>
    <xf numFmtId="0" fontId="2" fillId="0" borderId="10" xfId="1" applyFont="1" applyBorder="1" applyAlignment="1" applyProtection="1">
      <alignment horizontal="right" vertical="center"/>
    </xf>
    <xf numFmtId="0" fontId="2" fillId="0" borderId="0" xfId="1" applyFont="1" applyBorder="1" applyAlignment="1" applyProtection="1">
      <alignment horizontal="right" vertical="center"/>
    </xf>
    <xf numFmtId="0" fontId="2" fillId="0" borderId="11" xfId="1" applyFont="1" applyBorder="1" applyAlignment="1" applyProtection="1">
      <alignment horizontal="right" vertical="center"/>
    </xf>
  </cellXfs>
  <cellStyles count="3">
    <cellStyle name="Normal" xfId="0" builtinId="0"/>
    <cellStyle name="Normal 2" xfId="1"/>
    <cellStyle name="Porcentagem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Box</a:t>
            </a:r>
            <a:r>
              <a:rPr lang="en-US" baseline="0"/>
              <a:t> Plot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0776157786153326"/>
          <c:y val="9.5495178019337962E-2"/>
          <c:w val="0.63618684975676099"/>
          <c:h val="0.87930761193344442"/>
        </c:manualLayout>
      </c:layout>
      <c:lineChart>
        <c:grouping val="standard"/>
        <c:varyColors val="0"/>
        <c:ser>
          <c:idx val="1"/>
          <c:order val="0"/>
          <c:tx>
            <c:strRef>
              <c:f>'Ex01'!$F$16</c:f>
              <c:strCache>
                <c:ptCount val="1"/>
                <c:pt idx="0">
                  <c:v>1q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8.88888888888896E-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</c:dLbl>
            <c:spPr>
              <a:noFill/>
              <a:ln>
                <a:noFill/>
              </a:ln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</c:dLbls>
          <c:val>
            <c:numRef>
              <c:f>'Ex01'!$G$16</c:f>
              <c:numCache>
                <c:formatCode>0.00</c:formatCode>
                <c:ptCount val="1"/>
                <c:pt idx="0">
                  <c:v>2.25</c:v>
                </c:pt>
              </c:numCache>
            </c:numRef>
          </c:val>
          <c:smooth val="0"/>
        </c:ser>
        <c:ser>
          <c:idx val="11"/>
          <c:order val="1"/>
          <c:tx>
            <c:strRef>
              <c:f>'Ex01'!$F$20</c:f>
              <c:strCache>
                <c:ptCount val="1"/>
                <c:pt idx="0">
                  <c:v>L.S.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star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dLbls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'Ex01'!$G$20</c:f>
              <c:numCache>
                <c:formatCode>0.00</c:formatCode>
                <c:ptCount val="1"/>
                <c:pt idx="0">
                  <c:v>11.08</c:v>
                </c:pt>
              </c:numCache>
            </c:numRef>
          </c:val>
          <c:smooth val="0"/>
        </c:ser>
        <c:ser>
          <c:idx val="10"/>
          <c:order val="2"/>
          <c:tx>
            <c:strRef>
              <c:f>'Ex01'!$F$21</c:f>
              <c:strCache>
                <c:ptCount val="1"/>
                <c:pt idx="0">
                  <c:v>L.I.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star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'Ex01'!$G$21</c:f>
              <c:numCache>
                <c:formatCode>0.00</c:formatCode>
                <c:ptCount val="1"/>
                <c:pt idx="0">
                  <c:v>-3.05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'Ex01'!$F$15</c:f>
              <c:strCache>
                <c:ptCount val="1"/>
                <c:pt idx="0">
                  <c:v>Mín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dash"/>
            <c:size val="6"/>
            <c:spPr>
              <a:noFill/>
              <a:ln>
                <a:solidFill>
                  <a:srgbClr val="FF0000"/>
                </a:solidFill>
              </a:ln>
            </c:spPr>
          </c:marker>
          <c:dLbls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'Ex01'!$G$15</c:f>
              <c:numCache>
                <c:formatCode>0.00</c:formatCode>
                <c:ptCount val="1"/>
                <c:pt idx="0">
                  <c:v>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'Ex01'!$F$19</c:f>
              <c:strCache>
                <c:ptCount val="1"/>
                <c:pt idx="0">
                  <c:v>Máx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dash"/>
            <c:size val="6"/>
            <c:spPr>
              <a:noFill/>
              <a:ln>
                <a:solidFill>
                  <a:srgbClr val="FF0000"/>
                </a:solidFill>
              </a:ln>
            </c:spPr>
          </c:marker>
          <c:dLbls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'Ex01'!$G$19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'Ex01'!$F$17</c:f>
              <c:strCache>
                <c:ptCount val="1"/>
                <c:pt idx="0">
                  <c:v>Md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'Ex01'!$G$17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hiLowLines>
          <c:spPr>
            <a:ln w="317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</c:hiLowLines>
        <c:upDownBars>
          <c:gapWidth val="150"/>
          <c:upBars>
            <c:spPr>
              <a:noFill/>
              <a:ln>
                <a:solidFill>
                  <a:srgbClr val="FF0000"/>
                </a:solidFill>
              </a:ln>
            </c:spPr>
          </c:upBars>
          <c:downBars/>
        </c:upDownBars>
        <c:marker val="1"/>
        <c:smooth val="0"/>
        <c:axId val="74696576"/>
        <c:axId val="74698112"/>
      </c:lineChart>
      <c:lineChart>
        <c:grouping val="standard"/>
        <c:varyColors val="0"/>
        <c:ser>
          <c:idx val="7"/>
          <c:order val="6"/>
          <c:tx>
            <c:v>Md2</c:v>
          </c:tx>
          <c:marker>
            <c:symbol val="none"/>
          </c:marker>
          <c:dLbls>
            <c:delete val="1"/>
          </c:dLbls>
          <c:val>
            <c:numRef>
              <c:f>'Ex01'!$G$17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smooth val="0"/>
        </c:ser>
        <c:ser>
          <c:idx val="5"/>
          <c:order val="7"/>
          <c:tx>
            <c:v>A.Min</c:v>
          </c:tx>
          <c:marker>
            <c:symbol val="none"/>
          </c:marker>
          <c:dLbls>
            <c:delete val="1"/>
          </c:dLbls>
          <c:val>
            <c:numRef>
              <c:f>'Ex01'!$G$15</c:f>
              <c:numCache>
                <c:formatCode>0.00</c:formatCode>
                <c:ptCount val="1"/>
                <c:pt idx="0">
                  <c:v>2</c:v>
                </c:pt>
              </c:numCache>
            </c:numRef>
          </c:val>
          <c:smooth val="0"/>
        </c:ser>
        <c:ser>
          <c:idx val="6"/>
          <c:order val="8"/>
          <c:tx>
            <c:v>A.Max</c:v>
          </c:tx>
          <c:marker>
            <c:symbol val="none"/>
          </c:marker>
          <c:dLbls>
            <c:delete val="1"/>
          </c:dLbls>
          <c:val>
            <c:numRef>
              <c:f>'Ex01'!$G$19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smooth val="0"/>
        </c:ser>
        <c:ser>
          <c:idx val="3"/>
          <c:order val="9"/>
          <c:tx>
            <c:strRef>
              <c:f>'Ex01'!$F$18</c:f>
              <c:strCache>
                <c:ptCount val="1"/>
                <c:pt idx="0">
                  <c:v>3q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9.166666666666734E-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cat>
            <c:strLit>
              <c:ptCount val="1"/>
              <c:pt idx="0">
                <c:v>Valor</c:v>
              </c:pt>
            </c:strLit>
          </c:cat>
          <c:val>
            <c:numRef>
              <c:f>'Ex01'!$G$18</c:f>
              <c:numCache>
                <c:formatCode>0.00</c:formatCode>
                <c:ptCount val="1"/>
                <c:pt idx="0">
                  <c:v>5.78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hiLowLines>
          <c:spPr>
            <a:ln>
              <a:solidFill>
                <a:srgbClr val="FF0000"/>
              </a:solidFill>
            </a:ln>
          </c:spPr>
        </c:hiLowLines>
        <c:upDownBars>
          <c:gapWidth val="150"/>
          <c:upBars>
            <c:spPr>
              <a:noFill/>
              <a:ln>
                <a:solidFill>
                  <a:srgbClr val="FF0000"/>
                </a:solidFill>
              </a:ln>
            </c:spPr>
          </c:upBars>
          <c:downBars/>
        </c:upDownBars>
        <c:marker val="1"/>
        <c:smooth val="0"/>
        <c:axId val="74710016"/>
        <c:axId val="74708480"/>
      </c:lineChart>
      <c:catAx>
        <c:axId val="74696576"/>
        <c:scaling>
          <c:orientation val="minMax"/>
        </c:scaling>
        <c:delete val="1"/>
        <c:axPos val="b"/>
        <c:majorTickMark val="none"/>
        <c:minorTickMark val="none"/>
        <c:tickLblPos val="none"/>
        <c:crossAx val="74698112"/>
        <c:crosses val="autoZero"/>
        <c:auto val="1"/>
        <c:lblAlgn val="ctr"/>
        <c:lblOffset val="100"/>
        <c:noMultiLvlLbl val="0"/>
      </c:catAx>
      <c:valAx>
        <c:axId val="746981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Acessos (milhões)</a:t>
                </a:r>
              </a:p>
            </c:rich>
          </c:tx>
          <c:layout/>
          <c:overlay val="0"/>
        </c:title>
        <c:numFmt formatCode="0.00" sourceLinked="1"/>
        <c:majorTickMark val="cross"/>
        <c:minorTickMark val="out"/>
        <c:tickLblPos val="nextTo"/>
        <c:spPr>
          <a:noFill/>
          <a:ln cap="sq" cmpd="sng">
            <a:prstDash val="solid"/>
            <a:headEnd type="none" w="sm" len="sm"/>
            <a:tailEnd type="none" w="sm" len="sm"/>
          </a:ln>
        </c:spPr>
        <c:txPr>
          <a:bodyPr rot="0" vert="horz" anchor="ctr" anchorCtr="1"/>
          <a:lstStyle/>
          <a:p>
            <a:pPr>
              <a:defRPr/>
            </a:pPr>
            <a:endParaRPr lang="pt-BR"/>
          </a:p>
        </c:txPr>
        <c:crossAx val="74696576"/>
        <c:crosses val="autoZero"/>
        <c:crossBetween val="between"/>
      </c:valAx>
      <c:valAx>
        <c:axId val="74708480"/>
        <c:scaling>
          <c:orientation val="minMax"/>
        </c:scaling>
        <c:delete val="1"/>
        <c:axPos val="r"/>
        <c:numFmt formatCode="General" sourceLinked="0"/>
        <c:majorTickMark val="out"/>
        <c:minorTickMark val="out"/>
        <c:tickLblPos val="none"/>
        <c:crossAx val="74710016"/>
        <c:crosses val="max"/>
        <c:crossBetween val="between"/>
      </c:valAx>
      <c:catAx>
        <c:axId val="74710016"/>
        <c:scaling>
          <c:orientation val="minMax"/>
        </c:scaling>
        <c:delete val="1"/>
        <c:axPos val="b"/>
        <c:majorTickMark val="out"/>
        <c:minorTickMark val="none"/>
        <c:tickLblPos val="none"/>
        <c:crossAx val="74708480"/>
        <c:crosses val="autoZero"/>
        <c:auto val="1"/>
        <c:lblAlgn val="ctr"/>
        <c:lblOffset val="100"/>
        <c:noMultiLvlLbl val="0"/>
      </c:catAx>
      <c:spPr>
        <a:gradFill flip="none" rotWithShape="1">
          <a:gsLst>
            <a:gs pos="0">
              <a:srgbClr val="FFFFFF"/>
            </a:gs>
            <a:gs pos="100000">
              <a:srgbClr val="B4CCE4"/>
            </a:gs>
          </a:gsLst>
          <a:lin ang="16200000" scaled="0"/>
          <a:tileRect/>
        </a:gradFill>
        <a:ln w="25400">
          <a:solidFill>
            <a:srgbClr val="0070C0"/>
          </a:solidFill>
        </a:ln>
        <a:effectLst/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cap="flat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  <a:scene3d>
      <a:camera prst="orthographicFront"/>
      <a:lightRig rig="threePt" dir="t"/>
    </a:scene3d>
    <a:sp3d>
      <a:bevelT/>
    </a:sp3d>
  </c:spPr>
  <c:printSettings>
    <c:headerFooter/>
    <c:pageMargins b="0.78740157499999996" l="0.511811024" r="0.511811024" t="0.78740157499999996" header="0.31496062000000197" footer="0.31496062000000197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507998</xdr:colOff>
      <xdr:row>11</xdr:row>
      <xdr:rowOff>267230</xdr:rowOff>
    </xdr:from>
    <xdr:to>
      <xdr:col>13</xdr:col>
      <xdr:colOff>158749</xdr:colOff>
      <xdr:row>31</xdr:row>
      <xdr:rowOff>148167</xdr:rowOff>
    </xdr:to>
    <xdr:graphicFrame macro="">
      <xdr:nvGraphicFramePr>
        <xdr:cNvPr id="5" name="Box Plo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133350</xdr:colOff>
          <xdr:row>1</xdr:row>
          <xdr:rowOff>142875</xdr:rowOff>
        </xdr:from>
        <xdr:to>
          <xdr:col>16</xdr:col>
          <xdr:colOff>381000</xdr:colOff>
          <xdr:row>1</xdr:row>
          <xdr:rowOff>342900</xdr:rowOff>
        </xdr:to>
        <xdr:sp macro="" textlink="">
          <xdr:nvSpPr>
            <xdr:cNvPr id="2061" name="Object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</xdr:row>
          <xdr:rowOff>314325</xdr:rowOff>
        </xdr:from>
        <xdr:to>
          <xdr:col>16</xdr:col>
          <xdr:colOff>752475</xdr:colOff>
          <xdr:row>3</xdr:row>
          <xdr:rowOff>123825</xdr:rowOff>
        </xdr:to>
        <xdr:sp macro="" textlink="">
          <xdr:nvSpPr>
            <xdr:cNvPr id="2062" name="Object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190500</xdr:rowOff>
        </xdr:from>
        <xdr:to>
          <xdr:col>16</xdr:col>
          <xdr:colOff>752475</xdr:colOff>
          <xdr:row>4</xdr:row>
          <xdr:rowOff>123825</xdr:rowOff>
        </xdr:to>
        <xdr:sp macro="" textlink="">
          <xdr:nvSpPr>
            <xdr:cNvPr id="2063" name="Object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178594</xdr:colOff>
      <xdr:row>0</xdr:row>
      <xdr:rowOff>154781</xdr:rowOff>
    </xdr:from>
    <xdr:to>
      <xdr:col>7</xdr:col>
      <xdr:colOff>202407</xdr:colOff>
      <xdr:row>0</xdr:row>
      <xdr:rowOff>785813</xdr:rowOff>
    </xdr:to>
    <xdr:sp macro="" textlink="">
      <xdr:nvSpPr>
        <xdr:cNvPr id="2" name="Ondulado 1"/>
        <xdr:cNvSpPr/>
      </xdr:nvSpPr>
      <xdr:spPr>
        <a:xfrm>
          <a:off x="2881313" y="154781"/>
          <a:ext cx="2238375" cy="631032"/>
        </a:xfrm>
        <a:prstGeom prst="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GRÁFICO BOX PLOT</a:t>
          </a:r>
        </a:p>
      </xdr:txBody>
    </xdr:sp>
    <xdr:clientData/>
  </xdr:twoCellAnchor>
  <xdr:twoCellAnchor>
    <xdr:from>
      <xdr:col>7</xdr:col>
      <xdr:colOff>357188</xdr:colOff>
      <xdr:row>0</xdr:row>
      <xdr:rowOff>178594</xdr:rowOff>
    </xdr:from>
    <xdr:to>
      <xdr:col>11</xdr:col>
      <xdr:colOff>285749</xdr:colOff>
      <xdr:row>0</xdr:row>
      <xdr:rowOff>750094</xdr:rowOff>
    </xdr:to>
    <xdr:sp macro="" textlink="">
      <xdr:nvSpPr>
        <xdr:cNvPr id="3" name="CaixaDeTexto 2"/>
        <xdr:cNvSpPr txBox="1"/>
      </xdr:nvSpPr>
      <xdr:spPr>
        <a:xfrm>
          <a:off x="5464969" y="178594"/>
          <a:ext cx="2881311" cy="571500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Preencha os campos em verde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x01">
    <pageSetUpPr fitToPage="1"/>
  </sheetPr>
  <dimension ref="A1:AY67"/>
  <sheetViews>
    <sheetView showGridLines="0" tabSelected="1" zoomScale="80" zoomScaleNormal="80" workbookViewId="0">
      <selection activeCell="N1" sqref="N1"/>
    </sheetView>
  </sheetViews>
  <sheetFormatPr defaultColWidth="11.7109375" defaultRowHeight="16.5" customHeight="1" outlineLevelCol="1" x14ac:dyDescent="0.2"/>
  <cols>
    <col min="1" max="2" width="12" style="5" customWidth="1"/>
    <col min="3" max="3" width="10.42578125" style="5" customWidth="1"/>
    <col min="4" max="4" width="9.140625" style="5" customWidth="1"/>
    <col min="5" max="16" width="11.140625" style="5" customWidth="1"/>
    <col min="17" max="17" width="31.140625" style="5" customWidth="1"/>
    <col min="18" max="18" width="9.140625" style="5" customWidth="1"/>
    <col min="19" max="22" width="9.140625" style="5" customWidth="1" outlineLevel="1"/>
    <col min="23" max="250" width="9.140625" style="5" customWidth="1"/>
    <col min="251" max="251" width="6.7109375" style="5" customWidth="1"/>
    <col min="252" max="16384" width="11.7109375" style="5"/>
  </cols>
  <sheetData>
    <row r="1" spans="1:51" ht="108" customHeight="1" x14ac:dyDescent="0.25">
      <c r="A1" s="57" t="s">
        <v>36</v>
      </c>
      <c r="B1" s="57"/>
      <c r="E1" s="6" t="s">
        <v>17</v>
      </c>
      <c r="F1" s="7"/>
      <c r="G1" s="7"/>
      <c r="H1" s="7"/>
      <c r="I1" s="48"/>
      <c r="J1" s="49"/>
      <c r="K1" s="49"/>
      <c r="L1" s="7"/>
      <c r="M1" s="7"/>
      <c r="N1" s="7"/>
      <c r="O1" s="7"/>
      <c r="P1" s="7"/>
      <c r="Q1" s="7"/>
    </row>
    <row r="2" spans="1:51" ht="31.5" customHeight="1" x14ac:dyDescent="0.25">
      <c r="A2" s="8" t="s">
        <v>15</v>
      </c>
      <c r="B2" s="9" t="s">
        <v>42</v>
      </c>
      <c r="E2" s="10">
        <v>1</v>
      </c>
      <c r="F2" s="10">
        <f t="shared" ref="F2:P2" si="0">E2+1</f>
        <v>2</v>
      </c>
      <c r="G2" s="10">
        <f t="shared" si="0"/>
        <v>3</v>
      </c>
      <c r="H2" s="10">
        <f t="shared" si="0"/>
        <v>4</v>
      </c>
      <c r="I2" s="10">
        <f t="shared" si="0"/>
        <v>5</v>
      </c>
      <c r="J2" s="10">
        <f t="shared" si="0"/>
        <v>6</v>
      </c>
      <c r="K2" s="10">
        <f t="shared" si="0"/>
        <v>7</v>
      </c>
      <c r="L2" s="10">
        <f t="shared" si="0"/>
        <v>8</v>
      </c>
      <c r="M2" s="10">
        <f t="shared" si="0"/>
        <v>9</v>
      </c>
      <c r="N2" s="10">
        <f t="shared" si="0"/>
        <v>10</v>
      </c>
      <c r="O2" s="10">
        <f t="shared" si="0"/>
        <v>11</v>
      </c>
      <c r="P2" s="10">
        <f t="shared" si="0"/>
        <v>12</v>
      </c>
      <c r="Q2" s="34">
        <f>COUNT(E2:P2)</f>
        <v>12</v>
      </c>
      <c r="T2"/>
      <c r="U2"/>
      <c r="V2"/>
    </row>
    <row r="3" spans="1:51" ht="22.5" customHeight="1" x14ac:dyDescent="0.25">
      <c r="A3" s="11" t="s">
        <v>19</v>
      </c>
      <c r="B3" s="50">
        <v>2</v>
      </c>
      <c r="D3" s="53" t="s">
        <v>41</v>
      </c>
      <c r="E3" s="33">
        <v>2</v>
      </c>
      <c r="F3" s="33">
        <v>2</v>
      </c>
      <c r="G3" s="33">
        <v>2</v>
      </c>
      <c r="H3" s="33">
        <v>3</v>
      </c>
      <c r="I3" s="33">
        <v>4</v>
      </c>
      <c r="J3" s="33">
        <v>4</v>
      </c>
      <c r="K3" s="33">
        <v>4</v>
      </c>
      <c r="L3" s="33">
        <v>5</v>
      </c>
      <c r="M3" s="33">
        <v>5.0999999999999996</v>
      </c>
      <c r="N3" s="33">
        <v>6</v>
      </c>
      <c r="O3" s="33">
        <v>6</v>
      </c>
      <c r="P3" s="33">
        <v>6</v>
      </c>
      <c r="Q3" s="51">
        <f>ROUND(SUM(DadosClass),nCasas)</f>
        <v>49.1</v>
      </c>
      <c r="T3"/>
      <c r="U3"/>
      <c r="V3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</row>
    <row r="4" spans="1:51" ht="22.5" customHeight="1" x14ac:dyDescent="0.25">
      <c r="A4" s="11" t="s">
        <v>20</v>
      </c>
      <c r="B4" s="50">
        <v>2</v>
      </c>
      <c r="C4" s="21"/>
      <c r="D4" s="54" t="s">
        <v>43</v>
      </c>
      <c r="E4" s="22">
        <f t="shared" ref="E4:P4" si="1">IFERROR(ROUND(E3^2,nCasas),0)</f>
        <v>4</v>
      </c>
      <c r="F4" s="22">
        <f t="shared" si="1"/>
        <v>4</v>
      </c>
      <c r="G4" s="22">
        <f t="shared" si="1"/>
        <v>4</v>
      </c>
      <c r="H4" s="22">
        <f t="shared" si="1"/>
        <v>9</v>
      </c>
      <c r="I4" s="22">
        <f t="shared" si="1"/>
        <v>16</v>
      </c>
      <c r="J4" s="22">
        <f t="shared" si="1"/>
        <v>16</v>
      </c>
      <c r="K4" s="22">
        <f t="shared" si="1"/>
        <v>16</v>
      </c>
      <c r="L4" s="22">
        <f t="shared" si="1"/>
        <v>25</v>
      </c>
      <c r="M4" s="22">
        <f t="shared" si="1"/>
        <v>26.01</v>
      </c>
      <c r="N4" s="22">
        <f t="shared" si="1"/>
        <v>36</v>
      </c>
      <c r="O4" s="22">
        <f t="shared" si="1"/>
        <v>36</v>
      </c>
      <c r="P4" s="22">
        <f t="shared" si="1"/>
        <v>36</v>
      </c>
      <c r="Q4" s="52">
        <f>ROUND(SUM(E4:P4),nCasas)</f>
        <v>228.01</v>
      </c>
      <c r="T4"/>
      <c r="U4"/>
      <c r="V4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</row>
    <row r="5" spans="1:51" ht="22.5" customHeight="1" x14ac:dyDescent="0.25">
      <c r="A5" s="11" t="s">
        <v>21</v>
      </c>
      <c r="B5" s="50">
        <v>3</v>
      </c>
      <c r="C5" s="21"/>
      <c r="T5"/>
      <c r="U5"/>
      <c r="V5"/>
    </row>
    <row r="6" spans="1:51" ht="22.5" customHeight="1" x14ac:dyDescent="0.25">
      <c r="A6" s="11" t="s">
        <v>22</v>
      </c>
      <c r="B6" s="50">
        <v>4</v>
      </c>
      <c r="C6" s="21"/>
      <c r="E6" s="12" t="s">
        <v>31</v>
      </c>
      <c r="F6" s="35">
        <f>IFERROR(ROUND((Somat_xi/n),nCasas),"")</f>
        <v>4.09</v>
      </c>
      <c r="I6" s="2" t="s">
        <v>34</v>
      </c>
      <c r="J6" s="13"/>
      <c r="T6"/>
      <c r="U6"/>
      <c r="V6"/>
    </row>
    <row r="7" spans="1:51" ht="22.5" customHeight="1" x14ac:dyDescent="0.25">
      <c r="A7" s="11" t="s">
        <v>23</v>
      </c>
      <c r="B7" s="50">
        <v>4</v>
      </c>
      <c r="C7" s="21"/>
      <c r="E7" s="12" t="s">
        <v>0</v>
      </c>
      <c r="F7" s="36">
        <f>IFERROR(IFERROR(MODE(DadosClass),"Amodal"),"")</f>
        <v>2</v>
      </c>
      <c r="H7" s="13"/>
      <c r="I7" s="1" t="s">
        <v>35</v>
      </c>
      <c r="J7" s="1" t="s">
        <v>7</v>
      </c>
      <c r="T7"/>
      <c r="U7"/>
      <c r="V7"/>
    </row>
    <row r="8" spans="1:51" ht="22.5" customHeight="1" x14ac:dyDescent="0.25">
      <c r="A8" s="11" t="s">
        <v>24</v>
      </c>
      <c r="B8" s="50">
        <v>4</v>
      </c>
      <c r="C8" s="21"/>
      <c r="E8" s="13"/>
      <c r="F8" s="13"/>
      <c r="H8" s="4" t="s">
        <v>4</v>
      </c>
      <c r="I8" s="3">
        <f>(n+1)/4</f>
        <v>3.25</v>
      </c>
      <c r="J8" s="37">
        <f>IFERROR(ROUND(IF(Pos_1q-ROUNDDOWN(Pos_1q,0)&gt;0.5,AVERAGE(AVERAGE(HLOOKUP(ROUNDDOWN(Pos_1q,0),Tab,2,0),HLOOKUP(ROUNDUP(Pos_1q,0),Tab,2,0)),HLOOKUP(ROUNDUP(Pos_1q,0),Tab,2,0)),IF(Pos_1q-ROUNDDOWN(Pos_1q,0)&lt;0.5,AVERAGE(AVERAGE(HLOOKUP(ROUNDDOWN(Pos_1q,0),Tab,2,0),HLOOKUP(ROUNDUP(Pos_1q,0),Tab,2,0)),HLOOKUP(ROUNDDOWN(Pos_1q,0),Tab,2,0)),AVERAGE(HLOOKUP(ROUNDDOWN(Pos_1q,0),Tab,2,0),HLOOKUP(ROUNDUP(Pos_1q,0),Tab,2,0)))),nCasas),"")</f>
        <v>2.25</v>
      </c>
      <c r="K8" s="58" t="s">
        <v>14</v>
      </c>
      <c r="L8" s="59"/>
      <c r="M8" s="59"/>
      <c r="N8" s="37">
        <f>IFERROR(ROUND(TercQuartil-PrimQuartil,nCasas),"")</f>
        <v>3.53</v>
      </c>
      <c r="T8"/>
      <c r="U8"/>
      <c r="V8"/>
    </row>
    <row r="9" spans="1:51" ht="22.5" customHeight="1" x14ac:dyDescent="0.25">
      <c r="A9" s="11" t="s">
        <v>25</v>
      </c>
      <c r="B9" s="50">
        <v>2</v>
      </c>
      <c r="C9" s="58" t="s">
        <v>11</v>
      </c>
      <c r="D9" s="59"/>
      <c r="E9" s="60"/>
      <c r="F9" s="37">
        <f>IFERROR(ROUND((SQRT((Somat_xi2-(Somat_xi^2/n))/(n-1))),nCasas),"")</f>
        <v>1.57</v>
      </c>
      <c r="G9" s="13"/>
      <c r="H9" s="4" t="s">
        <v>8</v>
      </c>
      <c r="I9" s="3">
        <f>(n+1)/2</f>
        <v>6.5</v>
      </c>
      <c r="J9" s="37">
        <f>IFERROR(ROUND(IF(Pos_Md-ROUNDDOWN(Pos_Md,0)&gt;0.5,AVERAGE(AVERAGE(HLOOKUP(ROUNDDOWN(Pos_Md,0),Tab,2,0),HLOOKUP(ROUNDUP(Pos_Md,0),Tab,2,0)),HLOOKUP(ROUNDUP(Pos_Md,0),Tab,2,0)),IF(Pos_Md-ROUNDDOWN(Pos_Md,0)&lt;0.5,AVERAGE(AVERAGE(HLOOKUP(ROUNDDOWN(Pos_Md,0),Tab,2,0),HLOOKUP(ROUNDUP(Pos_Md,0),Tab,2,0)),HLOOKUP(ROUNDDOWN(Pos_Md,0),Tab,2,0)),AVERAGE(HLOOKUP(ROUNDDOWN(Pos_Md,0),Tab,2,0),HLOOKUP(ROUNDUP(Pos_Md,0),Tab,2,0)))),nCasas),"")</f>
        <v>4</v>
      </c>
      <c r="K9" s="58" t="s">
        <v>32</v>
      </c>
      <c r="L9" s="59"/>
      <c r="M9" s="59"/>
      <c r="N9" s="37">
        <f>IFERROR(ROUND(TercQuartil+(1.5*Dq),nCasas),"")</f>
        <v>11.08</v>
      </c>
      <c r="Q9" s="7"/>
      <c r="T9"/>
      <c r="U9"/>
      <c r="V9"/>
    </row>
    <row r="10" spans="1:51" ht="22.5" customHeight="1" x14ac:dyDescent="0.25">
      <c r="A10" s="11" t="s">
        <v>26</v>
      </c>
      <c r="B10" s="50">
        <v>5</v>
      </c>
      <c r="C10" s="58" t="s">
        <v>12</v>
      </c>
      <c r="D10" s="59"/>
      <c r="E10" s="60"/>
      <c r="F10" s="38">
        <f>IFERROR(ROUND(DesvPad/Media,nCasas+2),"")</f>
        <v>0.38390000000000002</v>
      </c>
      <c r="G10" s="13"/>
      <c r="H10" s="4" t="s">
        <v>5</v>
      </c>
      <c r="I10" s="3">
        <f>3*(n+1)/4</f>
        <v>9.75</v>
      </c>
      <c r="J10" s="37">
        <f>IFERROR(ROUND(IF(Pos_3q-ROUNDDOWN(Pos_3q,0)&gt;0.5,AVERAGE(AVERAGE(HLOOKUP(ROUNDDOWN(Pos_3q,0),Tab,2,0),HLOOKUP(ROUNDUP(Pos_3q,0),Tab,2,0)),HLOOKUP(ROUNDUP(Pos_3q,0),Tab,2,0)),IF(Pos_3q-ROUNDDOWN(Pos_3q,0)&lt;0.5,AVERAGE(AVERAGE(HLOOKUP(ROUNDDOWN(Pos_3q,0),Tab,2,0),HLOOKUP(ROUNDUP(Pos_3q,0),Tab,2,0)),HLOOKUP(ROUNDDOWN(Pos_3q,0),Tab,2,0)),AVERAGE(HLOOKUP(ROUNDDOWN(Pos_3q,0),Tab,2,0),HLOOKUP(ROUNDUP(Pos_3q,0),Tab,2,0)))),nCasas),"")</f>
        <v>5.78</v>
      </c>
      <c r="K10" s="58" t="s">
        <v>33</v>
      </c>
      <c r="L10" s="59"/>
      <c r="M10" s="59"/>
      <c r="N10" s="37">
        <f>IFERROR(ROUND(PrimQuartil-(1.5*Dq),nCasas),"")</f>
        <v>-3.05</v>
      </c>
      <c r="T10"/>
      <c r="U10"/>
      <c r="V10"/>
    </row>
    <row r="11" spans="1:51" ht="22.5" customHeight="1" x14ac:dyDescent="0.2">
      <c r="A11" s="11" t="s">
        <v>27</v>
      </c>
      <c r="B11" s="50">
        <v>6</v>
      </c>
      <c r="C11" s="58" t="s">
        <v>13</v>
      </c>
      <c r="D11" s="59"/>
      <c r="E11" s="60"/>
      <c r="F11" s="37">
        <f>IFERROR(ROUND(3*(Media-Md)/DesvPad,nCasas),0)</f>
        <v>0.17</v>
      </c>
      <c r="G11" s="39" t="str">
        <f>IFERROR(IF(CoefAssim&lt;0,"Negativa",IF(CoefAssim&gt;0,"Positiva","Simétrica")),"")</f>
        <v>Positiva</v>
      </c>
    </row>
    <row r="12" spans="1:51" ht="22.5" customHeight="1" x14ac:dyDescent="0.2">
      <c r="A12" s="11" t="s">
        <v>28</v>
      </c>
      <c r="B12" s="50">
        <v>6</v>
      </c>
      <c r="H12" s="13"/>
      <c r="L12" s="14"/>
    </row>
    <row r="13" spans="1:51" ht="22.5" customHeight="1" x14ac:dyDescent="0.2">
      <c r="A13" s="11" t="s">
        <v>29</v>
      </c>
      <c r="B13" s="50">
        <v>6</v>
      </c>
      <c r="F13" s="55" t="s">
        <v>16</v>
      </c>
      <c r="G13" s="56"/>
      <c r="H13" s="13"/>
      <c r="L13" s="14"/>
    </row>
    <row r="14" spans="1:51" ht="22.5" customHeight="1" x14ac:dyDescent="0.2">
      <c r="A14" s="11" t="s">
        <v>30</v>
      </c>
      <c r="B14" s="50">
        <v>5.0999999999999996</v>
      </c>
      <c r="E14" s="13"/>
      <c r="F14" s="15" t="s">
        <v>6</v>
      </c>
      <c r="G14" s="16" t="s">
        <v>1</v>
      </c>
      <c r="H14" s="13"/>
      <c r="L14" s="14"/>
      <c r="O14" s="30" t="s">
        <v>38</v>
      </c>
      <c r="P14" s="29"/>
      <c r="R14" s="13"/>
    </row>
    <row r="15" spans="1:51" ht="22.5" customHeight="1" x14ac:dyDescent="0.2">
      <c r="F15" s="17" t="s">
        <v>2</v>
      </c>
      <c r="G15" s="40">
        <f>IFERROR(QUARTILE(DadosClass,0),0)</f>
        <v>2</v>
      </c>
      <c r="O15" s="41" t="str">
        <f>Somat_xi &amp; " milhões."</f>
        <v>49,1 milhões.</v>
      </c>
      <c r="P15" s="42"/>
      <c r="R15" s="13"/>
    </row>
    <row r="16" spans="1:51" ht="22.5" customHeight="1" x14ac:dyDescent="0.2">
      <c r="A16" s="32" t="s">
        <v>18</v>
      </c>
      <c r="B16" s="11">
        <v>2</v>
      </c>
      <c r="F16" s="18" t="s">
        <v>4</v>
      </c>
      <c r="G16" s="40">
        <f>PrimQuartil</f>
        <v>2.25</v>
      </c>
      <c r="O16" s="30" t="s">
        <v>37</v>
      </c>
      <c r="P16" s="29"/>
      <c r="R16" s="13"/>
    </row>
    <row r="17" spans="1:18" ht="22.5" customHeight="1" x14ac:dyDescent="0.2">
      <c r="F17" s="19" t="s">
        <v>8</v>
      </c>
      <c r="G17" s="40">
        <f>Md</f>
        <v>4</v>
      </c>
      <c r="O17" s="41" t="str">
        <f>Media &amp; " milhões."</f>
        <v>4,09 milhões.</v>
      </c>
      <c r="P17" s="42"/>
      <c r="R17" s="13"/>
    </row>
    <row r="18" spans="1:18" ht="22.5" customHeight="1" x14ac:dyDescent="0.2">
      <c r="F18" s="15" t="s">
        <v>5</v>
      </c>
      <c r="G18" s="40">
        <f>TercQuartil</f>
        <v>5.78</v>
      </c>
      <c r="O18" s="30" t="s">
        <v>40</v>
      </c>
      <c r="P18" s="14"/>
      <c r="R18" s="13"/>
    </row>
    <row r="19" spans="1:18" ht="22.5" customHeight="1" x14ac:dyDescent="0.2">
      <c r="F19" s="17" t="s">
        <v>3</v>
      </c>
      <c r="G19" s="40">
        <f>IFERROR(QUARTILE(DadosClass,4),0)</f>
        <v>6</v>
      </c>
      <c r="O19" s="43" t="str">
        <f>Mo &amp; " milhões."</f>
        <v>2 milhões.</v>
      </c>
      <c r="P19" s="44"/>
      <c r="R19" s="13"/>
    </row>
    <row r="20" spans="1:18" ht="22.5" customHeight="1" x14ac:dyDescent="0.2">
      <c r="F20" s="17" t="s">
        <v>9</v>
      </c>
      <c r="G20" s="40">
        <f>L.Sup</f>
        <v>11.08</v>
      </c>
      <c r="R20" s="28"/>
    </row>
    <row r="21" spans="1:18" ht="22.5" customHeight="1" x14ac:dyDescent="0.2">
      <c r="F21" s="17" t="s">
        <v>10</v>
      </c>
      <c r="G21" s="40">
        <f>L.Inf</f>
        <v>-3.05</v>
      </c>
      <c r="H21" s="7"/>
      <c r="O21" s="31" t="s">
        <v>39</v>
      </c>
      <c r="R21" s="27"/>
    </row>
    <row r="22" spans="1:18" ht="22.5" customHeight="1" x14ac:dyDescent="0.2">
      <c r="C22" s="23"/>
      <c r="D22" s="25"/>
      <c r="H22" s="7"/>
      <c r="I22" s="7"/>
      <c r="O22" s="47">
        <v>0.25</v>
      </c>
      <c r="P22" s="45" t="str">
        <f>Min &amp; " a " &amp; PrimQuartil &amp; " milhões."</f>
        <v>2 a 2,25 milhões.</v>
      </c>
      <c r="Q22" s="46"/>
      <c r="R22" s="28"/>
    </row>
    <row r="23" spans="1:18" ht="22.5" customHeight="1" x14ac:dyDescent="0.2">
      <c r="C23" s="24"/>
      <c r="D23" s="25"/>
      <c r="O23" s="47">
        <v>0.25</v>
      </c>
      <c r="P23" s="45" t="str">
        <f>PrimQuartil &amp; " a " &amp; Md &amp; " milhões."</f>
        <v>2,25 a 4 milhões.</v>
      </c>
      <c r="Q23" s="46"/>
      <c r="R23" s="27"/>
    </row>
    <row r="24" spans="1:18" ht="22.5" customHeight="1" x14ac:dyDescent="0.2">
      <c r="C24" s="25"/>
      <c r="D24" s="25"/>
      <c r="O24" s="47">
        <v>0.25</v>
      </c>
      <c r="P24" s="45" t="str">
        <f>Md &amp; " a " &amp; TercQuartil &amp; " milhões."</f>
        <v>4 a 5,78 milhões.</v>
      </c>
      <c r="Q24" s="46"/>
      <c r="R24" s="13"/>
    </row>
    <row r="25" spans="1:18" ht="22.5" customHeight="1" x14ac:dyDescent="0.2">
      <c r="C25" s="25"/>
      <c r="D25" s="25"/>
      <c r="O25" s="47">
        <v>0.25</v>
      </c>
      <c r="P25" s="45" t="str">
        <f>TercQuartil &amp; " a " &amp; Max &amp; " milhões."</f>
        <v>5,78 a 6 milhões.</v>
      </c>
      <c r="Q25" s="46"/>
      <c r="R25" s="13"/>
    </row>
    <row r="26" spans="1:18" ht="22.5" customHeight="1" x14ac:dyDescent="0.2">
      <c r="A26" s="25"/>
      <c r="B26" s="25"/>
      <c r="C26" s="25"/>
      <c r="D26" s="25"/>
    </row>
    <row r="27" spans="1:18" ht="22.5" customHeight="1" x14ac:dyDescent="0.2">
      <c r="A27" s="25"/>
      <c r="B27" s="25"/>
      <c r="C27" s="25"/>
      <c r="D27" s="25"/>
    </row>
    <row r="28" spans="1:18" ht="22.5" customHeight="1" x14ac:dyDescent="0.2">
      <c r="A28" s="25"/>
      <c r="B28" s="25"/>
      <c r="C28" s="25"/>
      <c r="D28" s="26"/>
    </row>
    <row r="29" spans="1:18" ht="22.5" customHeight="1" x14ac:dyDescent="0.2"/>
    <row r="30" spans="1:18" ht="22.5" customHeight="1" x14ac:dyDescent="0.2">
      <c r="B30" s="20"/>
    </row>
    <row r="31" spans="1:18" ht="22.5" customHeight="1" x14ac:dyDescent="0.2"/>
    <row r="32" spans="1:18" ht="22.5" customHeight="1" x14ac:dyDescent="0.2">
      <c r="A32" s="20"/>
    </row>
    <row r="33" ht="22.5" customHeight="1" x14ac:dyDescent="0.2"/>
    <row r="34" ht="22.5" customHeight="1" x14ac:dyDescent="0.2"/>
    <row r="35" ht="22.5" customHeight="1" x14ac:dyDescent="0.2"/>
    <row r="47" ht="12.75" x14ac:dyDescent="0.2"/>
    <row r="48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  <row r="57" ht="12.75" x14ac:dyDescent="0.2"/>
    <row r="58" ht="12.75" x14ac:dyDescent="0.2"/>
    <row r="59" ht="12.75" x14ac:dyDescent="0.2"/>
    <row r="60" ht="12.75" x14ac:dyDescent="0.2"/>
    <row r="61" ht="12.75" x14ac:dyDescent="0.2"/>
    <row r="62" ht="12.75" x14ac:dyDescent="0.2"/>
    <row r="63" ht="12.75" x14ac:dyDescent="0.2"/>
    <row r="64" ht="12.75" x14ac:dyDescent="0.2"/>
    <row r="65" ht="12.75" x14ac:dyDescent="0.2"/>
    <row r="66" ht="12.75" x14ac:dyDescent="0.2"/>
    <row r="67" ht="12.75" x14ac:dyDescent="0.2"/>
  </sheetData>
  <sortState ref="S3:S14">
    <sortCondition ref="S3:S14"/>
  </sortState>
  <mergeCells count="8">
    <mergeCell ref="F13:G13"/>
    <mergeCell ref="A1:B1"/>
    <mergeCell ref="K8:M8"/>
    <mergeCell ref="K9:M9"/>
    <mergeCell ref="C9:E9"/>
    <mergeCell ref="C10:E10"/>
    <mergeCell ref="C11:E11"/>
    <mergeCell ref="K10:M10"/>
  </mergeCells>
  <pageMargins left="7.874015748031496E-2" right="7.874015748031496E-2" top="0.19685039370078741" bottom="0.19685039370078741" header="0.11811023622047245" footer="0.55118110236220474"/>
  <pageSetup paperSize="9" scale="69" orientation="landscape" r:id="rId1"/>
  <headerFooter alignWithMargins="0">
    <oddFooter>&amp;LExercício 01
Adriano Bortoloto
&amp;D  &amp;T</oddFooter>
  </headerFooter>
  <drawing r:id="rId2"/>
  <legacyDrawing r:id="rId3"/>
  <oleObjects>
    <mc:AlternateContent xmlns:mc="http://schemas.openxmlformats.org/markup-compatibility/2006">
      <mc:Choice Requires="x14">
        <oleObject progId="Equation.3" shapeId="2061" r:id="rId4">
          <objectPr defaultSize="0" autoPict="0" r:id="rId5">
            <anchor moveWithCells="1">
              <from>
                <xdr:col>16</xdr:col>
                <xdr:colOff>133350</xdr:colOff>
                <xdr:row>1</xdr:row>
                <xdr:rowOff>142875</xdr:rowOff>
              </from>
              <to>
                <xdr:col>16</xdr:col>
                <xdr:colOff>381000</xdr:colOff>
                <xdr:row>1</xdr:row>
                <xdr:rowOff>342900</xdr:rowOff>
              </to>
            </anchor>
          </objectPr>
        </oleObject>
      </mc:Choice>
      <mc:Fallback>
        <oleObject progId="Equation.3" shapeId="2061" r:id="rId4"/>
      </mc:Fallback>
    </mc:AlternateContent>
    <mc:AlternateContent xmlns:mc="http://schemas.openxmlformats.org/markup-compatibility/2006">
      <mc:Choice Requires="x14">
        <oleObject progId="Equation.3" shapeId="2062" r:id="rId6">
          <objectPr defaultSize="0" autoPict="0" r:id="rId7">
            <anchor moveWithCells="1">
              <from>
                <xdr:col>16</xdr:col>
                <xdr:colOff>38100</xdr:colOff>
                <xdr:row>1</xdr:row>
                <xdr:rowOff>314325</xdr:rowOff>
              </from>
              <to>
                <xdr:col>16</xdr:col>
                <xdr:colOff>752475</xdr:colOff>
                <xdr:row>3</xdr:row>
                <xdr:rowOff>123825</xdr:rowOff>
              </to>
            </anchor>
          </objectPr>
        </oleObject>
      </mc:Choice>
      <mc:Fallback>
        <oleObject progId="Equation.3" shapeId="2062" r:id="rId6"/>
      </mc:Fallback>
    </mc:AlternateContent>
    <mc:AlternateContent xmlns:mc="http://schemas.openxmlformats.org/markup-compatibility/2006">
      <mc:Choice Requires="x14">
        <oleObject progId="Equation.3" shapeId="2063" r:id="rId8">
          <objectPr defaultSize="0" autoPict="0" r:id="rId9">
            <anchor moveWithCells="1">
              <from>
                <xdr:col>16</xdr:col>
                <xdr:colOff>28575</xdr:colOff>
                <xdr:row>2</xdr:row>
                <xdr:rowOff>190500</xdr:rowOff>
              </from>
              <to>
                <xdr:col>16</xdr:col>
                <xdr:colOff>752475</xdr:colOff>
                <xdr:row>4</xdr:row>
                <xdr:rowOff>123825</xdr:rowOff>
              </to>
            </anchor>
          </objectPr>
        </oleObject>
      </mc:Choice>
      <mc:Fallback>
        <oleObject progId="Equation.3" shapeId="2063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26</vt:i4>
      </vt:variant>
    </vt:vector>
  </HeadingPairs>
  <TitlesOfParts>
    <vt:vector size="27" baseType="lpstr">
      <vt:lpstr>Ex01</vt:lpstr>
      <vt:lpstr>CoefAssim</vt:lpstr>
      <vt:lpstr>CoefVar</vt:lpstr>
      <vt:lpstr>DadosClass</vt:lpstr>
      <vt:lpstr>DadosClassif2</vt:lpstr>
      <vt:lpstr>DadosGrafico</vt:lpstr>
      <vt:lpstr>DadosOrig</vt:lpstr>
      <vt:lpstr>DesvPad</vt:lpstr>
      <vt:lpstr>Dq</vt:lpstr>
      <vt:lpstr>L.Inf</vt:lpstr>
      <vt:lpstr>L.Sup</vt:lpstr>
      <vt:lpstr>Max</vt:lpstr>
      <vt:lpstr>Md</vt:lpstr>
      <vt:lpstr>Media</vt:lpstr>
      <vt:lpstr>Min</vt:lpstr>
      <vt:lpstr>Mo</vt:lpstr>
      <vt:lpstr>n</vt:lpstr>
      <vt:lpstr>nCasas</vt:lpstr>
      <vt:lpstr>Pos_1q</vt:lpstr>
      <vt:lpstr>Pos_3q</vt:lpstr>
      <vt:lpstr>Pos_Md</vt:lpstr>
      <vt:lpstr>PrimQuartil</vt:lpstr>
      <vt:lpstr>Separatrizes</vt:lpstr>
      <vt:lpstr>Somat_xi</vt:lpstr>
      <vt:lpstr>Somat_xi2</vt:lpstr>
      <vt:lpstr>Tab</vt:lpstr>
      <vt:lpstr>TercQuartil</vt:lpstr>
    </vt:vector>
  </TitlesOfParts>
  <Company>Particular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Mitxos</dc:creator>
  <cp:lastModifiedBy>Adriano Bortoloto</cp:lastModifiedBy>
  <cp:lastPrinted>2011-10-07T12:08:43Z</cp:lastPrinted>
  <dcterms:created xsi:type="dcterms:W3CDTF">2011-09-06T19:10:31Z</dcterms:created>
  <dcterms:modified xsi:type="dcterms:W3CDTF">2015-09-09T03:45:04Z</dcterms:modified>
</cp:coreProperties>
</file>